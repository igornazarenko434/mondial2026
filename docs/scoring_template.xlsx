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Multiplier Tables" sheetId="2" state="visible" r:id="rId4"/>
    <sheet name="Predictions" sheetId="3" state="visible" r:id="rId5"/>
    <sheet name="Futures" sheetId="4" state="visible" r:id="rId6"/>
    <sheet name="Standings" sheetId="5" state="visible" r:id="rId7"/>
  </sheets>
  <definedNames>
    <definedName function="false" hidden="false" name="FIN" vbProcedure="false">'Multiplier Tables'!$B$18:$I$21</definedName>
    <definedName function="false" hidden="false" name="GRP" vbProcedure="false">'Multiplier Tables'!$B$4:$I$7</definedName>
    <definedName function="false" hidden="false" name="KO" vbProcedure="false">'Multiplier Tables'!$B$11:$I$14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<sst xmlns="http://schemas.openxmlformats.org/spreadsheetml/2006/main" count="175" uniqueCount="139">
  <si>
    <t xml:space="preserve">Toto Mondial 2026 — Prediction &amp; Scoring Template</t>
  </si>
  <si>
    <t xml:space="preserve">Companion to Mondial_2026_System_Blueprint.md  •  encodes your friends' exact scoring rules</t>
  </si>
  <si>
    <t xml:space="preserve">How it works</t>
  </si>
  <si>
    <t xml:space="preserve">1.</t>
  </si>
  <si>
    <t xml:space="preserve">Log every match on the 'Predictions' tab. Pick a Stage, type the LOCKED odds (H/D/A) you'll be scored on, your predicted score, and — after the game — the actual score. Points compute automatically.</t>
  </si>
  <si>
    <t xml:space="preserve">2.</t>
  </si>
  <si>
    <t xml:space="preserve">Scoring follows your rules: wrong direction = 0; right direction only = base x odds; exact score = multiplier-table value x odds. Base = 1.0 (group) / 1.5 (R32-QF) / 2.0 (SF, 3rd, Final). Detonator games x2.</t>
  </si>
  <si>
    <t xml:space="preserve">3.</t>
  </si>
  <si>
    <t xml:space="preserve">The 'Multiplier Tables' tab holds the three exact-score tables (group / knockout / final) exactly as in the rules. Edit a cell there if your group revises a value.</t>
  </si>
  <si>
    <t xml:space="preserve">4.</t>
  </si>
  <si>
    <t xml:space="preserve">Lock your four futures bets on the 'Futures' tab before 11.06 21:59. Enter your own win-probability estimate and the sheet ranks options by Expected Value (probability x payout) — the smart way to pick under this scoring.</t>
  </si>
  <si>
    <t xml:space="preserve">5.</t>
  </si>
  <si>
    <t xml:space="preserve">The 'Standings' tab applies the -15% group-stage reset and the prize ladder (23/15/12.5...%). Enter the pot to see each place's payout.</t>
  </si>
  <si>
    <t xml:space="preserve">Colour legend</t>
  </si>
  <si>
    <t xml:space="preserve">Yellow</t>
  </si>
  <si>
    <t xml:space="preserve">Cells YOU fill in (inputs: odds, your picks, actual scores).</t>
  </si>
  <si>
    <t xml:space="preserve">Grey</t>
  </si>
  <si>
    <t xml:space="preserve">Auto-calculated helper columns — don't edit.</t>
  </si>
  <si>
    <t xml:space="preserve">White/Blue header</t>
  </si>
  <si>
    <t xml:space="preserve">Labels and section titles.</t>
  </si>
  <si>
    <t xml:space="preserve">Important note</t>
  </si>
  <si>
    <t xml:space="preserve">The exact-score multiplier tables were read from your scanned rules PDF. The diagonal/draw values (0-0, 1-1, 2-2, 3-3) and high-score caps were reconciled against the worked examples in the rules. Double-check them on the 'Multiplier Tables' tab against your official copy before the tournament, and adjust if needed.</t>
  </si>
  <si>
    <t xml:space="preserve">This is a for-fun prediction pool. Bookmaker odds are used only as the group's scoring multiplier and as a data signal — no real-money wagering is involved.</t>
  </si>
  <si>
    <t xml:space="preserve">GROUP stage  (base direction = 1.0)</t>
  </si>
  <si>
    <t xml:space="preserve">loser \ winner</t>
  </si>
  <si>
    <t xml:space="preserve">KNOCKOUT R32 / R16 / QF  (base direction = 1.5, result at 120')</t>
  </si>
  <si>
    <t xml:space="preserve">SEMI-FINAL / 3rd PLACE / FINAL  (base direction = 2.0)</t>
  </si>
  <si>
    <t xml:space="preserve">Gold = draw cells &amp; high-score caps reconciled from rules examples — verify vs official copy.</t>
  </si>
  <si>
    <t xml:space="preserve">Match Predictions  —  fill yellow cells; POINTS auto-calculates</t>
  </si>
  <si>
    <t xml:space="preserve">#</t>
  </si>
  <si>
    <t xml:space="preserve">Date</t>
  </si>
  <si>
    <t xml:space="preserve">Stage</t>
  </si>
  <si>
    <t xml:space="preserve">Home</t>
  </si>
  <si>
    <t xml:space="preserve">Away</t>
  </si>
  <si>
    <t xml:space="preserve">Det?</t>
  </si>
  <si>
    <t xml:space="preserve">Odds H</t>
  </si>
  <si>
    <t xml:space="preserve">Odds D</t>
  </si>
  <si>
    <t xml:space="preserve">Odds A</t>
  </si>
  <si>
    <t xml:space="preserve">Pred H</t>
  </si>
  <si>
    <t xml:space="preserve">Pred A</t>
  </si>
  <si>
    <t xml:space="preserve">Act H</t>
  </si>
  <si>
    <t xml:space="preserve">Act A</t>
  </si>
  <si>
    <t xml:space="preserve">POINTS</t>
  </si>
  <si>
    <t xml:space="preserve">Notes</t>
  </si>
  <si>
    <t xml:space="preserve">StageType</t>
  </si>
  <si>
    <t xml:space="preserve">Base</t>
  </si>
  <si>
    <t xml:space="preserve">DirPred</t>
  </si>
  <si>
    <t xml:space="preserve">DirAct</t>
  </si>
  <si>
    <t xml:space="preserve">Exact</t>
  </si>
  <si>
    <t xml:space="preserve">OddsUsed</t>
  </si>
  <si>
    <t xml:space="preserve">WinG</t>
  </si>
  <si>
    <t xml:space="preserve">LosG</t>
  </si>
  <si>
    <t xml:space="preserve">Mult</t>
  </si>
  <si>
    <t xml:space="preserve">EXAMPLE</t>
  </si>
  <si>
    <t xml:space="preserve">Group</t>
  </si>
  <si>
    <t xml:space="preserve">France</t>
  </si>
  <si>
    <t xml:space="preserve">Spain</t>
  </si>
  <si>
    <t xml:space="preserve">N</t>
  </si>
  <si>
    <t xml:space="preserve">Worked example from rules -&gt; expect 3.000</t>
  </si>
  <si>
    <t xml:space="preserve">11.06</t>
  </si>
  <si>
    <t xml:space="preserve">Mexico</t>
  </si>
  <si>
    <t xml:space="preserve">South Africa</t>
  </si>
  <si>
    <t xml:space="preserve">Y</t>
  </si>
  <si>
    <t xml:space="preserve">DETONATOR x2 (enter locked odds + picks)</t>
  </si>
  <si>
    <t xml:space="preserve">17.06</t>
  </si>
  <si>
    <t xml:space="preserve">England</t>
  </si>
  <si>
    <t xml:space="preserve">Croatia</t>
  </si>
  <si>
    <t xml:space="preserve">18.06</t>
  </si>
  <si>
    <t xml:space="preserve">Switzerland</t>
  </si>
  <si>
    <t xml:space="preserve">Bosnia</t>
  </si>
  <si>
    <t xml:space="preserve">20.06</t>
  </si>
  <si>
    <t xml:space="preserve">Netherlands</t>
  </si>
  <si>
    <t xml:space="preserve">Sweden</t>
  </si>
  <si>
    <t xml:space="preserve">24.06</t>
  </si>
  <si>
    <t xml:space="preserve">Canada</t>
  </si>
  <si>
    <t xml:space="preserve">26.06</t>
  </si>
  <si>
    <t xml:space="preserve">Norway</t>
  </si>
  <si>
    <t xml:space="preserve">TOTAL POINTS:</t>
  </si>
  <si>
    <t xml:space="preserve">Futures / Wide Bets  —  LOCK before 11.06 21:59</t>
  </si>
  <si>
    <t xml:space="preserve">Enter your win-probability estimate (%) for options you consider. EV = probability x payout. Pick the highest EV (mark 'X' in My Pick).</t>
  </si>
  <si>
    <t xml:space="preserve">1) Tournament Winner  (§7)</t>
  </si>
  <si>
    <t xml:space="preserve">Option</t>
  </si>
  <si>
    <t xml:space="preserve">Payout (pts)</t>
  </si>
  <si>
    <t xml:space="preserve">My prob %</t>
  </si>
  <si>
    <t xml:space="preserve">Expected Value</t>
  </si>
  <si>
    <t xml:space="preserve">My Pick</t>
  </si>
  <si>
    <t xml:space="preserve">Brazil</t>
  </si>
  <si>
    <t xml:space="preserve">Argentina</t>
  </si>
  <si>
    <t xml:space="preserve">Portugal</t>
  </si>
  <si>
    <t xml:space="preserve">Germany</t>
  </si>
  <si>
    <t xml:space="preserve">USA</t>
  </si>
  <si>
    <t xml:space="preserve">2) Top Scorer / Melech HaShearim  (§8)</t>
  </si>
  <si>
    <t xml:space="preserve">Mbappe</t>
  </si>
  <si>
    <t xml:space="preserve">Harry Kane</t>
  </si>
  <si>
    <t xml:space="preserve">Messi</t>
  </si>
  <si>
    <t xml:space="preserve">Haaland</t>
  </si>
  <si>
    <t xml:space="preserve">Mikel Oyarzabal</t>
  </si>
  <si>
    <t xml:space="preserve">Lamine Yamal</t>
  </si>
  <si>
    <t xml:space="preserve">Cristiano Ronaldo</t>
  </si>
  <si>
    <t xml:space="preserve">Ousmane Dembele</t>
  </si>
  <si>
    <t xml:space="preserve">Vinicius</t>
  </si>
  <si>
    <t xml:space="preserve">Lautaro Martinez</t>
  </si>
  <si>
    <t xml:space="preserve">Raphinha</t>
  </si>
  <si>
    <t xml:space="preserve">Kai Havertz</t>
  </si>
  <si>
    <t xml:space="preserve">Julian Alvarez</t>
  </si>
  <si>
    <t xml:space="preserve">Romelu Lukaku</t>
  </si>
  <si>
    <t xml:space="preserve">Igor Thiago</t>
  </si>
  <si>
    <t xml:space="preserve">Cody Gakpo</t>
  </si>
  <si>
    <t xml:space="preserve">Michael Olise</t>
  </si>
  <si>
    <t xml:space="preserve">Jude Bellingham</t>
  </si>
  <si>
    <t xml:space="preserve">Memphis Depay</t>
  </si>
  <si>
    <t xml:space="preserve">3) Cinderella / Surprise team  (§9)</t>
  </si>
  <si>
    <t xml:space="preserve">Congo</t>
  </si>
  <si>
    <t xml:space="preserve">Saudi Arabia</t>
  </si>
  <si>
    <t xml:space="preserve">New Zealand</t>
  </si>
  <si>
    <t xml:space="preserve">Cape Verde</t>
  </si>
  <si>
    <t xml:space="preserve">Uzbekistan</t>
  </si>
  <si>
    <t xml:space="preserve">Qatar</t>
  </si>
  <si>
    <t xml:space="preserve">Panama</t>
  </si>
  <si>
    <t xml:space="preserve">Jordan</t>
  </si>
  <si>
    <t xml:space="preserve">Iraq</t>
  </si>
  <si>
    <t xml:space="preserve">Haiti</t>
  </si>
  <si>
    <t xml:space="preserve">Curacao</t>
  </si>
  <si>
    <t xml:space="preserve">4) The Fighter / HaLochem (§10): pick the lowest-seed team you expect to finish highest in the standings = 10 pts + ranking points. Enter your pick:</t>
  </si>
  <si>
    <t xml:space="preserve">My pick:</t>
  </si>
  <si>
    <t xml:space="preserve">Standings &amp; Prize Distribution</t>
  </si>
  <si>
    <t xml:space="preserve">Pot:</t>
  </si>
  <si>
    <t xml:space="preserve">Enter pot in H1. Group pts get x0.85 (-15% reset, §14). Total = reset group + knockout + futures.</t>
  </si>
  <si>
    <t xml:space="preserve">Participant</t>
  </si>
  <si>
    <t xml:space="preserve">Group pts</t>
  </si>
  <si>
    <t xml:space="preserve">After -15%</t>
  </si>
  <si>
    <t xml:space="preserve">Knockout pts</t>
  </si>
  <si>
    <t xml:space="preserve">Futures pts</t>
  </si>
  <si>
    <t xml:space="preserve">TOTAL</t>
  </si>
  <si>
    <t xml:space="preserve">Rank</t>
  </si>
  <si>
    <t xml:space="preserve">Prize %</t>
  </si>
  <si>
    <t xml:space="preserve">Prize</t>
  </si>
  <si>
    <t xml:space="preserve">%</t>
  </si>
  <si>
    <t xml:space="preserve">(example) Igor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</si>
</sst>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"/>
    <numFmt numFmtId="167" formatCode="0%"/>
    <numFmt numFmtId="168" formatCode="0.0%"/>
    <numFmt numFmtId="169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9"/>
      <color rgb="FF808080"/>
      <name val="Arial"/>
      <family val="0"/>
      <charset val="1"/>
    </font>
    <font>
      <sz val="11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D966"/>
        <bgColor rgb="FFFFFF99"/>
      </patternFill>
    </fill>
    <fill>
      <patternFill patternType="solid">
        <fgColor rgb="FFEEEEEE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EEEEE"/>
      </patternFill>
    </fill>
    <fill>
      <patternFill patternType="solid">
        <fgColor rgb="FFF2F2F2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F2F2F2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6.85" hidden="false" customHeight="false" outlineLevel="0" collapsed="false">
      <c r="B6" s="4" t="s">
        <v>3</v>
      </c>
      <c r="C6" s="5" t="s">
        <v>4</v>
      </c>
    </row>
    <row r="7" customFormat="false" ht="26.85" hidden="false" customHeight="false" outlineLevel="0" collapsed="false">
      <c r="B7" s="4" t="s">
        <v>5</v>
      </c>
      <c r="C7" s="5" t="s">
        <v>6</v>
      </c>
    </row>
    <row r="8" customFormat="false" ht="26.85" hidden="false" customHeight="false" outlineLevel="0" collapsed="false">
      <c r="B8" s="4" t="s">
        <v>7</v>
      </c>
      <c r="C8" s="5" t="s">
        <v>8</v>
      </c>
    </row>
    <row r="9" customFormat="false" ht="26.85" hidden="false" customHeight="false" outlineLevel="0" collapsed="false">
      <c r="B9" s="4" t="s">
        <v>9</v>
      </c>
      <c r="C9" s="5" t="s">
        <v>10</v>
      </c>
    </row>
    <row r="10" customFormat="false" ht="26.8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3" t="s">
        <v>13</v>
      </c>
    </row>
    <row r="12" customFormat="false" ht="15" hidden="false" customHeight="false" outlineLevel="0" collapsed="false">
      <c r="B12" s="4" t="s">
        <v>14</v>
      </c>
      <c r="C12" s="5" t="s">
        <v>15</v>
      </c>
    </row>
    <row r="13" customFormat="false" ht="15" hidden="false" customHeight="false" outlineLevel="0" collapsed="false">
      <c r="B13" s="4" t="s">
        <v>16</v>
      </c>
      <c r="C13" s="5" t="s">
        <v>17</v>
      </c>
    </row>
    <row r="14" customFormat="false" ht="15" hidden="false" customHeight="false" outlineLevel="0" collapsed="false">
      <c r="B14" s="4" t="s">
        <v>18</v>
      </c>
      <c r="C14" s="5" t="s">
        <v>19</v>
      </c>
    </row>
    <row r="15" customFormat="false" ht="15" hidden="false" customHeight="false" outlineLevel="0" collapsed="false">
      <c r="B15" s="3" t="s">
        <v>20</v>
      </c>
    </row>
    <row r="16" customFormat="false" ht="39.55" hidden="false" customHeight="false" outlineLevel="0" collapsed="false">
      <c r="B16" s="4"/>
      <c r="C16" s="5" t="s">
        <v>21</v>
      </c>
    </row>
    <row r="17" customFormat="false" ht="26.85" hidden="false" customHeight="false" outlineLevel="0" collapsed="false">
      <c r="B17" s="4"/>
      <c r="C17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9" min="2" style="0" width="8"/>
  </cols>
  <sheetData>
    <row r="2" customFormat="false" ht="15" hidden="false" customHeight="false" outlineLevel="0" collapsed="false">
      <c r="B2" s="6" t="s">
        <v>23</v>
      </c>
    </row>
    <row r="3" customFormat="false" ht="15" hidden="false" customHeight="false" outlineLevel="0" collapsed="false">
      <c r="A3" s="7" t="s">
        <v>24</v>
      </c>
      <c r="B3" s="7" t="n">
        <v>0</v>
      </c>
      <c r="C3" s="7" t="n">
        <v>1</v>
      </c>
      <c r="D3" s="7" t="n">
        <v>2</v>
      </c>
      <c r="E3" s="7" t="n">
        <v>3</v>
      </c>
      <c r="F3" s="7" t="n">
        <v>4</v>
      </c>
      <c r="G3" s="7" t="n">
        <v>5</v>
      </c>
      <c r="H3" s="7" t="n">
        <v>6</v>
      </c>
      <c r="I3" s="7" t="n">
        <v>7</v>
      </c>
    </row>
    <row r="4" customFormat="false" ht="15" hidden="false" customHeight="false" outlineLevel="0" collapsed="false">
      <c r="A4" s="7" t="n">
        <v>0</v>
      </c>
      <c r="B4" s="8" t="n">
        <v>2.75</v>
      </c>
      <c r="C4" s="9" t="n">
        <v>2.25</v>
      </c>
      <c r="D4" s="9" t="n">
        <v>3.25</v>
      </c>
      <c r="E4" s="9" t="n">
        <v>4.5</v>
      </c>
      <c r="F4" s="9" t="n">
        <v>4.5</v>
      </c>
      <c r="G4" s="9" t="n">
        <v>4.5</v>
      </c>
      <c r="H4" s="9" t="n">
        <v>4.5</v>
      </c>
      <c r="I4" s="9" t="n">
        <v>4.5</v>
      </c>
    </row>
    <row r="5" customFormat="false" ht="15" hidden="false" customHeight="false" outlineLevel="0" collapsed="false">
      <c r="A5" s="7" t="n">
        <v>1</v>
      </c>
      <c r="B5" s="10" t="n">
        <v>0</v>
      </c>
      <c r="C5" s="8" t="n">
        <v>2.25</v>
      </c>
      <c r="D5" s="9" t="n">
        <v>1.5</v>
      </c>
      <c r="E5" s="9" t="n">
        <v>3.25</v>
      </c>
      <c r="F5" s="9" t="n">
        <v>4.5</v>
      </c>
      <c r="G5" s="9" t="n">
        <v>4.5</v>
      </c>
      <c r="H5" s="9" t="n">
        <v>4.5</v>
      </c>
      <c r="I5" s="9" t="n">
        <v>4.5</v>
      </c>
    </row>
    <row r="6" customFormat="false" ht="15" hidden="false" customHeight="false" outlineLevel="0" collapsed="false">
      <c r="A6" s="7" t="n">
        <v>2</v>
      </c>
      <c r="B6" s="10" t="n">
        <v>0</v>
      </c>
      <c r="C6" s="10" t="n">
        <v>0</v>
      </c>
      <c r="D6" s="8" t="n">
        <v>2.75</v>
      </c>
      <c r="E6" s="9" t="n">
        <v>3.25</v>
      </c>
      <c r="F6" s="9" t="n">
        <v>4.5</v>
      </c>
      <c r="G6" s="9" t="n">
        <v>4.5</v>
      </c>
      <c r="H6" s="9" t="n">
        <v>4.5</v>
      </c>
      <c r="I6" s="9" t="n">
        <v>4.5</v>
      </c>
    </row>
    <row r="7" customFormat="false" ht="15" hidden="false" customHeight="false" outlineLevel="0" collapsed="false">
      <c r="A7" s="7" t="n">
        <v>3</v>
      </c>
      <c r="B7" s="10" t="n">
        <v>0</v>
      </c>
      <c r="C7" s="10" t="n">
        <v>0</v>
      </c>
      <c r="D7" s="10" t="n">
        <v>0</v>
      </c>
      <c r="E7" s="8" t="n">
        <v>4.5</v>
      </c>
      <c r="F7" s="9" t="n">
        <v>4.5</v>
      </c>
      <c r="G7" s="9" t="n">
        <v>4.5</v>
      </c>
      <c r="H7" s="9" t="n">
        <v>4.5</v>
      </c>
      <c r="I7" s="9" t="n">
        <v>4.5</v>
      </c>
    </row>
    <row r="9" customFormat="false" ht="15" hidden="false" customHeight="false" outlineLevel="0" collapsed="false">
      <c r="B9" s="6" t="s">
        <v>25</v>
      </c>
    </row>
    <row r="10" customFormat="false" ht="15" hidden="false" customHeight="false" outlineLevel="0" collapsed="false">
      <c r="A10" s="7" t="s">
        <v>24</v>
      </c>
      <c r="B10" s="7" t="n">
        <v>0</v>
      </c>
      <c r="C10" s="7" t="n">
        <v>1</v>
      </c>
      <c r="D10" s="7" t="n">
        <v>2</v>
      </c>
      <c r="E10" s="7" t="n">
        <v>3</v>
      </c>
      <c r="F10" s="7" t="n">
        <v>4</v>
      </c>
      <c r="G10" s="7" t="n">
        <v>5</v>
      </c>
      <c r="H10" s="7" t="n">
        <v>6</v>
      </c>
      <c r="I10" s="7" t="n">
        <v>7</v>
      </c>
    </row>
    <row r="11" customFormat="false" ht="15" hidden="false" customHeight="false" outlineLevel="0" collapsed="false">
      <c r="A11" s="7" t="n">
        <v>0</v>
      </c>
      <c r="B11" s="8" t="n">
        <v>3.75</v>
      </c>
      <c r="C11" s="9" t="n">
        <v>2.25</v>
      </c>
      <c r="D11" s="9" t="n">
        <v>3.5</v>
      </c>
      <c r="E11" s="9" t="n">
        <v>4.5</v>
      </c>
      <c r="F11" s="9" t="n">
        <v>8.25</v>
      </c>
      <c r="G11" s="9" t="n">
        <v>8.25</v>
      </c>
      <c r="H11" s="9" t="n">
        <v>8.25</v>
      </c>
      <c r="I11" s="9" t="n">
        <v>8.25</v>
      </c>
    </row>
    <row r="12" customFormat="false" ht="15" hidden="false" customHeight="false" outlineLevel="0" collapsed="false">
      <c r="A12" s="7" t="n">
        <v>1</v>
      </c>
      <c r="B12" s="10" t="n">
        <v>0</v>
      </c>
      <c r="C12" s="8" t="n">
        <v>3</v>
      </c>
      <c r="D12" s="9" t="n">
        <v>2.25</v>
      </c>
      <c r="E12" s="9" t="n">
        <v>4.5</v>
      </c>
      <c r="F12" s="9" t="n">
        <v>8.25</v>
      </c>
      <c r="G12" s="9" t="n">
        <v>8.25</v>
      </c>
      <c r="H12" s="9" t="n">
        <v>8.25</v>
      </c>
      <c r="I12" s="9" t="n">
        <v>8.25</v>
      </c>
    </row>
    <row r="13" customFormat="false" ht="15" hidden="false" customHeight="false" outlineLevel="0" collapsed="false">
      <c r="A13" s="7" t="n">
        <v>2</v>
      </c>
      <c r="B13" s="10" t="n">
        <v>0</v>
      </c>
      <c r="C13" s="10" t="n">
        <v>0</v>
      </c>
      <c r="D13" s="8" t="n">
        <v>3.75</v>
      </c>
      <c r="E13" s="9" t="n">
        <v>4.5</v>
      </c>
      <c r="F13" s="9" t="n">
        <v>8.25</v>
      </c>
      <c r="G13" s="9" t="n">
        <v>8.25</v>
      </c>
      <c r="H13" s="9" t="n">
        <v>8.25</v>
      </c>
      <c r="I13" s="9" t="n">
        <v>8.25</v>
      </c>
    </row>
    <row r="14" customFormat="false" ht="15" hidden="false" customHeight="false" outlineLevel="0" collapsed="false">
      <c r="A14" s="7" t="n">
        <v>3</v>
      </c>
      <c r="B14" s="10" t="n">
        <v>0</v>
      </c>
      <c r="C14" s="10" t="n">
        <v>0</v>
      </c>
      <c r="D14" s="10" t="n">
        <v>0</v>
      </c>
      <c r="E14" s="8" t="n">
        <v>8.25</v>
      </c>
      <c r="F14" s="9" t="n">
        <v>8.25</v>
      </c>
      <c r="G14" s="9" t="n">
        <v>8.25</v>
      </c>
      <c r="H14" s="9" t="n">
        <v>8.25</v>
      </c>
      <c r="I14" s="9" t="n">
        <v>8.25</v>
      </c>
    </row>
    <row r="16" customFormat="false" ht="15" hidden="false" customHeight="false" outlineLevel="0" collapsed="false">
      <c r="B16" s="6" t="s">
        <v>26</v>
      </c>
    </row>
    <row r="17" customFormat="false" ht="15" hidden="false" customHeight="false" outlineLevel="0" collapsed="false">
      <c r="A17" s="7" t="s">
        <v>24</v>
      </c>
      <c r="B17" s="7" t="n">
        <v>0</v>
      </c>
      <c r="C17" s="7" t="n">
        <v>1</v>
      </c>
      <c r="D17" s="7" t="n">
        <v>2</v>
      </c>
      <c r="E17" s="7" t="n">
        <v>3</v>
      </c>
      <c r="F17" s="7" t="n">
        <v>4</v>
      </c>
      <c r="G17" s="7" t="n">
        <v>5</v>
      </c>
      <c r="H17" s="7" t="n">
        <v>6</v>
      </c>
      <c r="I17" s="7" t="n">
        <v>7</v>
      </c>
    </row>
    <row r="18" customFormat="false" ht="15" hidden="false" customHeight="false" outlineLevel="0" collapsed="false">
      <c r="A18" s="7" t="n">
        <v>0</v>
      </c>
      <c r="B18" s="8" t="n">
        <v>5</v>
      </c>
      <c r="C18" s="9" t="n">
        <v>3</v>
      </c>
      <c r="D18" s="9" t="n">
        <v>4.5</v>
      </c>
      <c r="E18" s="9" t="n">
        <v>6</v>
      </c>
      <c r="F18" s="9" t="n">
        <v>11</v>
      </c>
      <c r="G18" s="9" t="n">
        <v>11</v>
      </c>
      <c r="H18" s="9" t="n">
        <v>11</v>
      </c>
      <c r="I18" s="9" t="n">
        <v>11</v>
      </c>
    </row>
    <row r="19" customFormat="false" ht="15" hidden="false" customHeight="false" outlineLevel="0" collapsed="false">
      <c r="A19" s="7" t="n">
        <v>1</v>
      </c>
      <c r="B19" s="10" t="n">
        <v>0</v>
      </c>
      <c r="C19" s="8" t="n">
        <v>4</v>
      </c>
      <c r="D19" s="9" t="n">
        <v>3</v>
      </c>
      <c r="E19" s="9" t="n">
        <v>6</v>
      </c>
      <c r="F19" s="9" t="n">
        <v>11</v>
      </c>
      <c r="G19" s="9" t="n">
        <v>11</v>
      </c>
      <c r="H19" s="9" t="n">
        <v>11</v>
      </c>
      <c r="I19" s="9" t="n">
        <v>11</v>
      </c>
    </row>
    <row r="20" customFormat="false" ht="15" hidden="false" customHeight="false" outlineLevel="0" collapsed="false">
      <c r="A20" s="7" t="n">
        <v>2</v>
      </c>
      <c r="B20" s="10" t="n">
        <v>0</v>
      </c>
      <c r="C20" s="10" t="n">
        <v>0</v>
      </c>
      <c r="D20" s="8" t="n">
        <v>5</v>
      </c>
      <c r="E20" s="9" t="n">
        <v>6</v>
      </c>
      <c r="F20" s="9" t="n">
        <v>11</v>
      </c>
      <c r="G20" s="9" t="n">
        <v>11</v>
      </c>
      <c r="H20" s="9" t="n">
        <v>11</v>
      </c>
      <c r="I20" s="9" t="n">
        <v>11</v>
      </c>
    </row>
    <row r="21" customFormat="false" ht="15" hidden="false" customHeight="false" outlineLevel="0" collapsed="false">
      <c r="A21" s="7" t="n">
        <v>3</v>
      </c>
      <c r="B21" s="10" t="n">
        <v>0</v>
      </c>
      <c r="C21" s="10" t="n">
        <v>0</v>
      </c>
      <c r="D21" s="10" t="n">
        <v>0</v>
      </c>
      <c r="E21" s="8" t="n">
        <v>11</v>
      </c>
      <c r="F21" s="9" t="n">
        <v>11</v>
      </c>
      <c r="G21" s="9" t="n">
        <v>11</v>
      </c>
      <c r="H21" s="9" t="n">
        <v>11</v>
      </c>
      <c r="I21" s="9" t="n">
        <v>11</v>
      </c>
    </row>
    <row r="22" customFormat="false" ht="15" hidden="false" customHeight="false" outlineLevel="0" collapsed="false">
      <c r="A22" s="11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5" min="4" style="0" width="15"/>
    <col collapsed="false" customWidth="true" hidden="false" outlineLevel="0" max="6" min="6" style="0" width="6"/>
    <col collapsed="false" customWidth="true" hidden="false" outlineLevel="0" max="11" min="7" style="0" width="7"/>
    <col collapsed="false" customWidth="true" hidden="false" outlineLevel="0" max="13" min="12" style="0" width="6"/>
    <col collapsed="false" customWidth="true" hidden="false" outlineLevel="0" max="14" min="14" style="0" width="9"/>
    <col collapsed="false" customWidth="true" hidden="false" outlineLevel="0" max="15" min="15" style="0" width="22"/>
    <col collapsed="false" customWidth="true" hidden="false" outlineLevel="0" max="25" min="17" style="0" width="9"/>
  </cols>
  <sheetData>
    <row r="1" customFormat="false" ht="16.15" hidden="false" customHeight="false" outlineLevel="0" collapsed="false">
      <c r="A1" s="12" t="s">
        <v>28</v>
      </c>
    </row>
    <row r="2" customFormat="false" ht="15" hidden="false" customHeight="false" outlineLevel="0" collapsed="false">
      <c r="A2" s="13" t="s">
        <v>29</v>
      </c>
      <c r="B2" s="13" t="s">
        <v>30</v>
      </c>
      <c r="C2" s="13" t="s">
        <v>31</v>
      </c>
      <c r="D2" s="13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3" t="s">
        <v>37</v>
      </c>
      <c r="J2" s="13" t="s">
        <v>38</v>
      </c>
      <c r="K2" s="13" t="s">
        <v>39</v>
      </c>
      <c r="L2" s="13" t="s">
        <v>40</v>
      </c>
      <c r="M2" s="13" t="s">
        <v>41</v>
      </c>
      <c r="N2" s="13" t="s">
        <v>42</v>
      </c>
      <c r="O2" s="13" t="s">
        <v>43</v>
      </c>
      <c r="P2" s="14"/>
      <c r="Q2" s="7" t="s">
        <v>44</v>
      </c>
      <c r="R2" s="7" t="s">
        <v>45</v>
      </c>
      <c r="S2" s="7" t="s">
        <v>46</v>
      </c>
      <c r="T2" s="7" t="s">
        <v>47</v>
      </c>
      <c r="U2" s="7" t="s">
        <v>48</v>
      </c>
      <c r="V2" s="7" t="s">
        <v>49</v>
      </c>
      <c r="W2" s="7" t="s">
        <v>50</v>
      </c>
      <c r="X2" s="7" t="s">
        <v>51</v>
      </c>
      <c r="Y2" s="7" t="s">
        <v>52</v>
      </c>
    </row>
    <row r="3" customFormat="false" ht="15" hidden="false" customHeight="false" outlineLevel="0" collapsed="false">
      <c r="A3" s="9" t="n">
        <v>1</v>
      </c>
      <c r="B3" s="15" t="s">
        <v>53</v>
      </c>
      <c r="C3" s="15" t="s">
        <v>54</v>
      </c>
      <c r="D3" s="16" t="s">
        <v>55</v>
      </c>
      <c r="E3" s="16" t="s">
        <v>56</v>
      </c>
      <c r="F3" s="15" t="s">
        <v>57</v>
      </c>
      <c r="G3" s="15" t="n">
        <v>2</v>
      </c>
      <c r="H3" s="15" t="n">
        <v>2.5</v>
      </c>
      <c r="I3" s="15" t="n">
        <v>1.5</v>
      </c>
      <c r="J3" s="15" t="n">
        <v>2</v>
      </c>
      <c r="K3" s="15" t="n">
        <v>1</v>
      </c>
      <c r="L3" s="15" t="n">
        <v>2</v>
      </c>
      <c r="M3" s="15" t="n">
        <v>1</v>
      </c>
      <c r="N3" s="17" t="n">
        <f aca="false">IF(OR(L3="",M3="",J3="",K3=""),"",IF(S3=T3,Y3*V3*IF(F3="Y",2,1),0))</f>
        <v>3</v>
      </c>
      <c r="O3" s="16" t="s">
        <v>58</v>
      </c>
      <c r="Q3" s="18" t="n">
        <f aca="false">IF(C3="Group",1,IF(OR(C3="SF",C3="3rd",C3="Final"),3,2))</f>
        <v>1</v>
      </c>
      <c r="R3" s="18" t="n">
        <f aca="false">CHOOSE(Q3,1,1.5,2)</f>
        <v>1</v>
      </c>
      <c r="S3" s="18" t="str">
        <f aca="false">IF(J3="","",IF(J3&gt;K3,"H",IF(J3=K3,"D","A")))</f>
        <v>H</v>
      </c>
      <c r="T3" s="18" t="str">
        <f aca="false">IF(L3="","",IF(L3&gt;M3,"H",IF(L3=M3,"D","A")))</f>
        <v>H</v>
      </c>
      <c r="U3" s="19" t="b">
        <f aca="false">AND(L3&lt;&gt;"",J3=L3,K3=M3)</f>
        <v>1</v>
      </c>
      <c r="V3" s="18" t="n">
        <f aca="false">IF(T3="H",G3,IF(T3="D",H3,IF(T3="A",I3,0)))</f>
        <v>2</v>
      </c>
      <c r="W3" s="18" t="n">
        <f aca="false">IF(L3="","",MAX(L3,M3))</f>
        <v>2</v>
      </c>
      <c r="X3" s="18" t="n">
        <f aca="false">IF(L3="","",MIN(L3,M3))</f>
        <v>1</v>
      </c>
      <c r="Y3" s="18" t="n">
        <f aca="false">IF(OR(L3="",M3=""),"",IF(U3,CHOOSE(Q3,INDEX(GRP,X3+1,W3+1),INDEX(KO,X3+1,W3+1),INDEX(FIN,X3+1,W3+1)),R3))</f>
        <v>1.5</v>
      </c>
    </row>
    <row r="4" customFormat="false" ht="15" hidden="false" customHeight="false" outlineLevel="0" collapsed="false">
      <c r="A4" s="9" t="n">
        <v>2</v>
      </c>
      <c r="B4" s="15" t="s">
        <v>59</v>
      </c>
      <c r="C4" s="15" t="s">
        <v>54</v>
      </c>
      <c r="D4" s="16" t="s">
        <v>60</v>
      </c>
      <c r="E4" s="16" t="s">
        <v>61</v>
      </c>
      <c r="F4" s="15" t="s">
        <v>62</v>
      </c>
      <c r="G4" s="15"/>
      <c r="H4" s="15"/>
      <c r="I4" s="15"/>
      <c r="J4" s="15"/>
      <c r="K4" s="15"/>
      <c r="L4" s="15"/>
      <c r="M4" s="15"/>
      <c r="N4" s="17" t="str">
        <f aca="false">IF(OR(L4="",M4="",J4="",K4=""),"",IF(S4=T4,Y4*V4*IF(F4="Y",2,1),0))</f>
        <v/>
      </c>
      <c r="O4" s="16" t="s">
        <v>63</v>
      </c>
      <c r="Q4" s="18" t="n">
        <f aca="false">IF(C4="Group",1,IF(OR(C4="SF",C4="3rd",C4="Final"),3,2))</f>
        <v>1</v>
      </c>
      <c r="R4" s="18" t="n">
        <f aca="false">CHOOSE(Q4,1,1.5,2)</f>
        <v>1</v>
      </c>
      <c r="S4" s="18" t="str">
        <f aca="false">IF(J4="","",IF(J4&gt;K4,"H",IF(J4=K4,"D","A")))</f>
        <v/>
      </c>
      <c r="T4" s="18" t="str">
        <f aca="false">IF(L4="","",IF(L4&gt;M4,"H",IF(L4=M4,"D","A")))</f>
        <v/>
      </c>
      <c r="U4" s="19" t="b">
        <f aca="false">AND(L4&lt;&gt;"",J4=L4,K4=M4)</f>
        <v>0</v>
      </c>
      <c r="V4" s="18" t="n">
        <f aca="false">IF(T4="H",G4,IF(T4="D",H4,IF(T4="A",I4,0)))</f>
        <v>0</v>
      </c>
      <c r="W4" s="18" t="str">
        <f aca="false">IF(L4="","",MAX(L4,M4))</f>
        <v/>
      </c>
      <c r="X4" s="18" t="str">
        <f aca="false">IF(L4="","",MIN(L4,M4))</f>
        <v/>
      </c>
      <c r="Y4" s="18" t="str">
        <f aca="false">IF(OR(L4="",M4=""),"",IF(U4,CHOOSE(Q4,INDEX(GRP,X4+1,W4+1),INDEX(KO,X4+1,W4+1),INDEX(FIN,X4+1,W4+1)),R4))</f>
        <v/>
      </c>
    </row>
    <row r="5" customFormat="false" ht="15" hidden="false" customHeight="false" outlineLevel="0" collapsed="false">
      <c r="A5" s="9" t="n">
        <v>3</v>
      </c>
      <c r="B5" s="15" t="s">
        <v>64</v>
      </c>
      <c r="C5" s="15" t="s">
        <v>54</v>
      </c>
      <c r="D5" s="16" t="s">
        <v>65</v>
      </c>
      <c r="E5" s="16" t="s">
        <v>66</v>
      </c>
      <c r="F5" s="15" t="s">
        <v>62</v>
      </c>
      <c r="G5" s="15"/>
      <c r="H5" s="15"/>
      <c r="I5" s="15"/>
      <c r="J5" s="15"/>
      <c r="K5" s="15"/>
      <c r="L5" s="15"/>
      <c r="M5" s="15"/>
      <c r="N5" s="17" t="str">
        <f aca="false">IF(OR(L5="",M5="",J5="",K5=""),"",IF(S5=T5,Y5*V5*IF(F5="Y",2,1),0))</f>
        <v/>
      </c>
      <c r="O5" s="16" t="s">
        <v>63</v>
      </c>
      <c r="Q5" s="18" t="n">
        <f aca="false">IF(C5="Group",1,IF(OR(C5="SF",C5="3rd",C5="Final"),3,2))</f>
        <v>1</v>
      </c>
      <c r="R5" s="18" t="n">
        <f aca="false">CHOOSE(Q5,1,1.5,2)</f>
        <v>1</v>
      </c>
      <c r="S5" s="18" t="str">
        <f aca="false">IF(J5="","",IF(J5&gt;K5,"H",IF(J5=K5,"D","A")))</f>
        <v/>
      </c>
      <c r="T5" s="18" t="str">
        <f aca="false">IF(L5="","",IF(L5&gt;M5,"H",IF(L5=M5,"D","A")))</f>
        <v/>
      </c>
      <c r="U5" s="19" t="b">
        <f aca="false">AND(L5&lt;&gt;"",J5=L5,K5=M5)</f>
        <v>0</v>
      </c>
      <c r="V5" s="18" t="n">
        <f aca="false">IF(T5="H",G5,IF(T5="D",H5,IF(T5="A",I5,0)))</f>
        <v>0</v>
      </c>
      <c r="W5" s="18" t="str">
        <f aca="false">IF(L5="","",MAX(L5,M5))</f>
        <v/>
      </c>
      <c r="X5" s="18" t="str">
        <f aca="false">IF(L5="","",MIN(L5,M5))</f>
        <v/>
      </c>
      <c r="Y5" s="18" t="str">
        <f aca="false">IF(OR(L5="",M5=""),"",IF(U5,CHOOSE(Q5,INDEX(GRP,X5+1,W5+1),INDEX(KO,X5+1,W5+1),INDEX(FIN,X5+1,W5+1)),R5))</f>
        <v/>
      </c>
    </row>
    <row r="6" customFormat="false" ht="15" hidden="false" customHeight="false" outlineLevel="0" collapsed="false">
      <c r="A6" s="9" t="n">
        <v>4</v>
      </c>
      <c r="B6" s="15" t="s">
        <v>67</v>
      </c>
      <c r="C6" s="15" t="s">
        <v>54</v>
      </c>
      <c r="D6" s="16" t="s">
        <v>68</v>
      </c>
      <c r="E6" s="16" t="s">
        <v>69</v>
      </c>
      <c r="F6" s="15" t="s">
        <v>62</v>
      </c>
      <c r="G6" s="15"/>
      <c r="H6" s="15"/>
      <c r="I6" s="15"/>
      <c r="J6" s="15"/>
      <c r="K6" s="15"/>
      <c r="L6" s="15"/>
      <c r="M6" s="15"/>
      <c r="N6" s="17" t="str">
        <f aca="false">IF(OR(L6="",M6="",J6="",K6=""),"",IF(S6=T6,Y6*V6*IF(F6="Y",2,1),0))</f>
        <v/>
      </c>
      <c r="O6" s="16" t="s">
        <v>63</v>
      </c>
      <c r="Q6" s="18" t="n">
        <f aca="false">IF(C6="Group",1,IF(OR(C6="SF",C6="3rd",C6="Final"),3,2))</f>
        <v>1</v>
      </c>
      <c r="R6" s="18" t="n">
        <f aca="false">CHOOSE(Q6,1,1.5,2)</f>
        <v>1</v>
      </c>
      <c r="S6" s="18" t="str">
        <f aca="false">IF(J6="","",IF(J6&gt;K6,"H",IF(J6=K6,"D","A")))</f>
        <v/>
      </c>
      <c r="T6" s="18" t="str">
        <f aca="false">IF(L6="","",IF(L6&gt;M6,"H",IF(L6=M6,"D","A")))</f>
        <v/>
      </c>
      <c r="U6" s="19" t="b">
        <f aca="false">AND(L6&lt;&gt;"",J6=L6,K6=M6)</f>
        <v>0</v>
      </c>
      <c r="V6" s="18" t="n">
        <f aca="false">IF(T6="H",G6,IF(T6="D",H6,IF(T6="A",I6,0)))</f>
        <v>0</v>
      </c>
      <c r="W6" s="18" t="str">
        <f aca="false">IF(L6="","",MAX(L6,M6))</f>
        <v/>
      </c>
      <c r="X6" s="18" t="str">
        <f aca="false">IF(L6="","",MIN(L6,M6))</f>
        <v/>
      </c>
      <c r="Y6" s="18" t="str">
        <f aca="false">IF(OR(L6="",M6=""),"",IF(U6,CHOOSE(Q6,INDEX(GRP,X6+1,W6+1),INDEX(KO,X6+1,W6+1),INDEX(FIN,X6+1,W6+1)),R6))</f>
        <v/>
      </c>
    </row>
    <row r="7" customFormat="false" ht="15" hidden="false" customHeight="false" outlineLevel="0" collapsed="false">
      <c r="A7" s="9" t="n">
        <v>5</v>
      </c>
      <c r="B7" s="15" t="s">
        <v>70</v>
      </c>
      <c r="C7" s="15" t="s">
        <v>54</v>
      </c>
      <c r="D7" s="16" t="s">
        <v>71</v>
      </c>
      <c r="E7" s="16" t="s">
        <v>72</v>
      </c>
      <c r="F7" s="15" t="s">
        <v>62</v>
      </c>
      <c r="G7" s="15"/>
      <c r="H7" s="15"/>
      <c r="I7" s="15"/>
      <c r="J7" s="15"/>
      <c r="K7" s="15"/>
      <c r="L7" s="15"/>
      <c r="M7" s="15"/>
      <c r="N7" s="17" t="str">
        <f aca="false">IF(OR(L7="",M7="",J7="",K7=""),"",IF(S7=T7,Y7*V7*IF(F7="Y",2,1),0))</f>
        <v/>
      </c>
      <c r="O7" s="16" t="s">
        <v>63</v>
      </c>
      <c r="Q7" s="18" t="n">
        <f aca="false">IF(C7="Group",1,IF(OR(C7="SF",C7="3rd",C7="Final"),3,2))</f>
        <v>1</v>
      </c>
      <c r="R7" s="18" t="n">
        <f aca="false">CHOOSE(Q7,1,1.5,2)</f>
        <v>1</v>
      </c>
      <c r="S7" s="18" t="str">
        <f aca="false">IF(J7="","",IF(J7&gt;K7,"H",IF(J7=K7,"D","A")))</f>
        <v/>
      </c>
      <c r="T7" s="18" t="str">
        <f aca="false">IF(L7="","",IF(L7&gt;M7,"H",IF(L7=M7,"D","A")))</f>
        <v/>
      </c>
      <c r="U7" s="19" t="b">
        <f aca="false">AND(L7&lt;&gt;"",J7=L7,K7=M7)</f>
        <v>0</v>
      </c>
      <c r="V7" s="18" t="n">
        <f aca="false">IF(T7="H",G7,IF(T7="D",H7,IF(T7="A",I7,0)))</f>
        <v>0</v>
      </c>
      <c r="W7" s="18" t="str">
        <f aca="false">IF(L7="","",MAX(L7,M7))</f>
        <v/>
      </c>
      <c r="X7" s="18" t="str">
        <f aca="false">IF(L7="","",MIN(L7,M7))</f>
        <v/>
      </c>
      <c r="Y7" s="18" t="str">
        <f aca="false">IF(OR(L7="",M7=""),"",IF(U7,CHOOSE(Q7,INDEX(GRP,X7+1,W7+1),INDEX(KO,X7+1,W7+1),INDEX(FIN,X7+1,W7+1)),R7))</f>
        <v/>
      </c>
    </row>
    <row r="8" customFormat="false" ht="15" hidden="false" customHeight="false" outlineLevel="0" collapsed="false">
      <c r="A8" s="9" t="n">
        <v>6</v>
      </c>
      <c r="B8" s="15" t="s">
        <v>73</v>
      </c>
      <c r="C8" s="15" t="s">
        <v>54</v>
      </c>
      <c r="D8" s="16" t="s">
        <v>68</v>
      </c>
      <c r="E8" s="16" t="s">
        <v>74</v>
      </c>
      <c r="F8" s="15" t="s">
        <v>62</v>
      </c>
      <c r="G8" s="15"/>
      <c r="H8" s="15"/>
      <c r="I8" s="15"/>
      <c r="J8" s="15"/>
      <c r="K8" s="15"/>
      <c r="L8" s="15"/>
      <c r="M8" s="15"/>
      <c r="N8" s="17" t="str">
        <f aca="false">IF(OR(L8="",M8="",J8="",K8=""),"",IF(S8=T8,Y8*V8*IF(F8="Y",2,1),0))</f>
        <v/>
      </c>
      <c r="O8" s="16" t="s">
        <v>63</v>
      </c>
      <c r="Q8" s="18" t="n">
        <f aca="false">IF(C8="Group",1,IF(OR(C8="SF",C8="3rd",C8="Final"),3,2))</f>
        <v>1</v>
      </c>
      <c r="R8" s="18" t="n">
        <f aca="false">CHOOSE(Q8,1,1.5,2)</f>
        <v>1</v>
      </c>
      <c r="S8" s="18" t="str">
        <f aca="false">IF(J8="","",IF(J8&gt;K8,"H",IF(J8=K8,"D","A")))</f>
        <v/>
      </c>
      <c r="T8" s="18" t="str">
        <f aca="false">IF(L8="","",IF(L8&gt;M8,"H",IF(L8=M8,"D","A")))</f>
        <v/>
      </c>
      <c r="U8" s="19" t="b">
        <f aca="false">AND(L8&lt;&gt;"",J8=L8,K8=M8)</f>
        <v>0</v>
      </c>
      <c r="V8" s="18" t="n">
        <f aca="false">IF(T8="H",G8,IF(T8="D",H8,IF(T8="A",I8,0)))</f>
        <v>0</v>
      </c>
      <c r="W8" s="18" t="str">
        <f aca="false">IF(L8="","",MAX(L8,M8))</f>
        <v/>
      </c>
      <c r="X8" s="18" t="str">
        <f aca="false">IF(L8="","",MIN(L8,M8))</f>
        <v/>
      </c>
      <c r="Y8" s="18" t="str">
        <f aca="false">IF(OR(L8="",M8=""),"",IF(U8,CHOOSE(Q8,INDEX(GRP,X8+1,W8+1),INDEX(KO,X8+1,W8+1),INDEX(FIN,X8+1,W8+1)),R8))</f>
        <v/>
      </c>
    </row>
    <row r="9" customFormat="false" ht="15" hidden="false" customHeight="false" outlineLevel="0" collapsed="false">
      <c r="A9" s="9" t="n">
        <v>7</v>
      </c>
      <c r="B9" s="15" t="s">
        <v>75</v>
      </c>
      <c r="C9" s="15" t="s">
        <v>54</v>
      </c>
      <c r="D9" s="16" t="s">
        <v>76</v>
      </c>
      <c r="E9" s="16" t="s">
        <v>55</v>
      </c>
      <c r="F9" s="15" t="s">
        <v>62</v>
      </c>
      <c r="G9" s="15"/>
      <c r="H9" s="15"/>
      <c r="I9" s="15"/>
      <c r="J9" s="15"/>
      <c r="K9" s="15"/>
      <c r="L9" s="15"/>
      <c r="M9" s="15"/>
      <c r="N9" s="17" t="str">
        <f aca="false">IF(OR(L9="",M9="",J9="",K9=""),"",IF(S9=T9,Y9*V9*IF(F9="Y",2,1),0))</f>
        <v/>
      </c>
      <c r="O9" s="16" t="s">
        <v>63</v>
      </c>
      <c r="Q9" s="18" t="n">
        <f aca="false">IF(C9="Group",1,IF(OR(C9="SF",C9="3rd",C9="Final"),3,2))</f>
        <v>1</v>
      </c>
      <c r="R9" s="18" t="n">
        <f aca="false">CHOOSE(Q9,1,1.5,2)</f>
        <v>1</v>
      </c>
      <c r="S9" s="18" t="str">
        <f aca="false">IF(J9="","",IF(J9&gt;K9,"H",IF(J9=K9,"D","A")))</f>
        <v/>
      </c>
      <c r="T9" s="18" t="str">
        <f aca="false">IF(L9="","",IF(L9&gt;M9,"H",IF(L9=M9,"D","A")))</f>
        <v/>
      </c>
      <c r="U9" s="19" t="b">
        <f aca="false">AND(L9&lt;&gt;"",J9=L9,K9=M9)</f>
        <v>0</v>
      </c>
      <c r="V9" s="18" t="n">
        <f aca="false">IF(T9="H",G9,IF(T9="D",H9,IF(T9="A",I9,0)))</f>
        <v>0</v>
      </c>
      <c r="W9" s="18" t="str">
        <f aca="false">IF(L9="","",MAX(L9,M9))</f>
        <v/>
      </c>
      <c r="X9" s="18" t="str">
        <f aca="false">IF(L9="","",MIN(L9,M9))</f>
        <v/>
      </c>
      <c r="Y9" s="18" t="str">
        <f aca="false">IF(OR(L9="",M9=""),"",IF(U9,CHOOSE(Q9,INDEX(GRP,X9+1,W9+1),INDEX(KO,X9+1,W9+1),INDEX(FIN,X9+1,W9+1)),R9))</f>
        <v/>
      </c>
    </row>
    <row r="10" customFormat="false" ht="15" hidden="false" customHeight="false" outlineLevel="0" collapsed="false">
      <c r="A10" s="9" t="n">
        <v>8</v>
      </c>
      <c r="B10" s="15"/>
      <c r="C10" s="15"/>
      <c r="D10" s="16"/>
      <c r="E10" s="16"/>
      <c r="F10" s="15"/>
      <c r="G10" s="15"/>
      <c r="H10" s="15"/>
      <c r="I10" s="15"/>
      <c r="J10" s="15"/>
      <c r="K10" s="15"/>
      <c r="L10" s="15"/>
      <c r="M10" s="15"/>
      <c r="N10" s="17" t="str">
        <f aca="false">IF(OR(L10="",M10="",J10="",K10=""),"",IF(S10=T10,Y10*V10*IF(F10="Y",2,1),0))</f>
        <v/>
      </c>
      <c r="O10" s="16"/>
      <c r="Q10" s="18" t="n">
        <f aca="false">IF(C10="Group",1,IF(OR(C10="SF",C10="3rd",C10="Final"),3,2))</f>
        <v>2</v>
      </c>
      <c r="R10" s="18" t="n">
        <f aca="false">CHOOSE(Q10,1,1.5,2)</f>
        <v>1.5</v>
      </c>
      <c r="S10" s="18" t="str">
        <f aca="false">IF(J10="","",IF(J10&gt;K10,"H",IF(J10=K10,"D","A")))</f>
        <v/>
      </c>
      <c r="T10" s="18" t="str">
        <f aca="false">IF(L10="","",IF(L10&gt;M10,"H",IF(L10=M10,"D","A")))</f>
        <v/>
      </c>
      <c r="U10" s="19" t="b">
        <f aca="false">AND(L10&lt;&gt;"",J10=L10,K10=M10)</f>
        <v>0</v>
      </c>
      <c r="V10" s="18" t="n">
        <f aca="false">IF(T10="H",G10,IF(T10="D",H10,IF(T10="A",I10,0)))</f>
        <v>0</v>
      </c>
      <c r="W10" s="18" t="str">
        <f aca="false">IF(L10="","",MAX(L10,M10))</f>
        <v/>
      </c>
      <c r="X10" s="18" t="str">
        <f aca="false">IF(L10="","",MIN(L10,M10))</f>
        <v/>
      </c>
      <c r="Y10" s="18" t="str">
        <f aca="false">IF(OR(L10="",M10=""),"",IF(U10,CHOOSE(Q10,INDEX(GRP,X10+1,W10+1),INDEX(KO,X10+1,W10+1),INDEX(FIN,X10+1,W10+1)),R10))</f>
        <v/>
      </c>
    </row>
    <row r="11" customFormat="false" ht="15" hidden="false" customHeight="false" outlineLevel="0" collapsed="false">
      <c r="A11" s="9" t="n">
        <v>9</v>
      </c>
      <c r="B11" s="15"/>
      <c r="C11" s="15"/>
      <c r="D11" s="16"/>
      <c r="E11" s="16"/>
      <c r="F11" s="15"/>
      <c r="G11" s="15"/>
      <c r="H11" s="15"/>
      <c r="I11" s="15"/>
      <c r="J11" s="15"/>
      <c r="K11" s="15"/>
      <c r="L11" s="15"/>
      <c r="M11" s="15"/>
      <c r="N11" s="17" t="str">
        <f aca="false">IF(OR(L11="",M11="",J11="",K11=""),"",IF(S11=T11,Y11*V11*IF(F11="Y",2,1),0))</f>
        <v/>
      </c>
      <c r="O11" s="16"/>
      <c r="Q11" s="18" t="n">
        <f aca="false">IF(C11="Group",1,IF(OR(C11="SF",C11="3rd",C11="Final"),3,2))</f>
        <v>2</v>
      </c>
      <c r="R11" s="18" t="n">
        <f aca="false">CHOOSE(Q11,1,1.5,2)</f>
        <v>1.5</v>
      </c>
      <c r="S11" s="18" t="str">
        <f aca="false">IF(J11="","",IF(J11&gt;K11,"H",IF(J11=K11,"D","A")))</f>
        <v/>
      </c>
      <c r="T11" s="18" t="str">
        <f aca="false">IF(L11="","",IF(L11&gt;M11,"H",IF(L11=M11,"D","A")))</f>
        <v/>
      </c>
      <c r="U11" s="19" t="b">
        <f aca="false">AND(L11&lt;&gt;"",J11=L11,K11=M11)</f>
        <v>0</v>
      </c>
      <c r="V11" s="18" t="n">
        <f aca="false">IF(T11="H",G11,IF(T11="D",H11,IF(T11="A",I11,0)))</f>
        <v>0</v>
      </c>
      <c r="W11" s="18" t="str">
        <f aca="false">IF(L11="","",MAX(L11,M11))</f>
        <v/>
      </c>
      <c r="X11" s="18" t="str">
        <f aca="false">IF(L11="","",MIN(L11,M11))</f>
        <v/>
      </c>
      <c r="Y11" s="18" t="str">
        <f aca="false">IF(OR(L11="",M11=""),"",IF(U11,CHOOSE(Q11,INDEX(GRP,X11+1,W11+1),INDEX(KO,X11+1,W11+1),INDEX(FIN,X11+1,W11+1)),R11))</f>
        <v/>
      </c>
    </row>
    <row r="12" customFormat="false" ht="15" hidden="false" customHeight="false" outlineLevel="0" collapsed="false">
      <c r="A12" s="9" t="n">
        <v>10</v>
      </c>
      <c r="B12" s="15"/>
      <c r="C12" s="15"/>
      <c r="D12" s="16"/>
      <c r="E12" s="16"/>
      <c r="F12" s="15"/>
      <c r="G12" s="15"/>
      <c r="H12" s="15"/>
      <c r="I12" s="15"/>
      <c r="J12" s="15"/>
      <c r="K12" s="15"/>
      <c r="L12" s="15"/>
      <c r="M12" s="15"/>
      <c r="N12" s="17" t="str">
        <f aca="false">IF(OR(L12="",M12="",J12="",K12=""),"",IF(S12=T12,Y12*V12*IF(F12="Y",2,1),0))</f>
        <v/>
      </c>
      <c r="O12" s="16"/>
      <c r="Q12" s="18" t="n">
        <f aca="false">IF(C12="Group",1,IF(OR(C12="SF",C12="3rd",C12="Final"),3,2))</f>
        <v>2</v>
      </c>
      <c r="R12" s="18" t="n">
        <f aca="false">CHOOSE(Q12,1,1.5,2)</f>
        <v>1.5</v>
      </c>
      <c r="S12" s="18" t="str">
        <f aca="false">IF(J12="","",IF(J12&gt;K12,"H",IF(J12=K12,"D","A")))</f>
        <v/>
      </c>
      <c r="T12" s="18" t="str">
        <f aca="false">IF(L12="","",IF(L12&gt;M12,"H",IF(L12=M12,"D","A")))</f>
        <v/>
      </c>
      <c r="U12" s="19" t="b">
        <f aca="false">AND(L12&lt;&gt;"",J12=L12,K12=M12)</f>
        <v>0</v>
      </c>
      <c r="V12" s="18" t="n">
        <f aca="false">IF(T12="H",G12,IF(T12="D",H12,IF(T12="A",I12,0)))</f>
        <v>0</v>
      </c>
      <c r="W12" s="18" t="str">
        <f aca="false">IF(L12="","",MAX(L12,M12))</f>
        <v/>
      </c>
      <c r="X12" s="18" t="str">
        <f aca="false">IF(L12="","",MIN(L12,M12))</f>
        <v/>
      </c>
      <c r="Y12" s="18" t="str">
        <f aca="false">IF(OR(L12="",M12=""),"",IF(U12,CHOOSE(Q12,INDEX(GRP,X12+1,W12+1),INDEX(KO,X12+1,W12+1),INDEX(FIN,X12+1,W12+1)),R12))</f>
        <v/>
      </c>
    </row>
    <row r="13" customFormat="false" ht="15" hidden="false" customHeight="false" outlineLevel="0" collapsed="false">
      <c r="A13" s="9" t="n">
        <v>11</v>
      </c>
      <c r="B13" s="15"/>
      <c r="C13" s="15"/>
      <c r="D13" s="16"/>
      <c r="E13" s="16"/>
      <c r="F13" s="15"/>
      <c r="G13" s="15"/>
      <c r="H13" s="15"/>
      <c r="I13" s="15"/>
      <c r="J13" s="15"/>
      <c r="K13" s="15"/>
      <c r="L13" s="15"/>
      <c r="M13" s="15"/>
      <c r="N13" s="17" t="str">
        <f aca="false">IF(OR(L13="",M13="",J13="",K13=""),"",IF(S13=T13,Y13*V13*IF(F13="Y",2,1),0))</f>
        <v/>
      </c>
      <c r="O13" s="16"/>
      <c r="Q13" s="18" t="n">
        <f aca="false">IF(C13="Group",1,IF(OR(C13="SF",C13="3rd",C13="Final"),3,2))</f>
        <v>2</v>
      </c>
      <c r="R13" s="18" t="n">
        <f aca="false">CHOOSE(Q13,1,1.5,2)</f>
        <v>1.5</v>
      </c>
      <c r="S13" s="18" t="str">
        <f aca="false">IF(J13="","",IF(J13&gt;K13,"H",IF(J13=K13,"D","A")))</f>
        <v/>
      </c>
      <c r="T13" s="18" t="str">
        <f aca="false">IF(L13="","",IF(L13&gt;M13,"H",IF(L13=M13,"D","A")))</f>
        <v/>
      </c>
      <c r="U13" s="19" t="b">
        <f aca="false">AND(L13&lt;&gt;"",J13=L13,K13=M13)</f>
        <v>0</v>
      </c>
      <c r="V13" s="18" t="n">
        <f aca="false">IF(T13="H",G13,IF(T13="D",H13,IF(T13="A",I13,0)))</f>
        <v>0</v>
      </c>
      <c r="W13" s="18" t="str">
        <f aca="false">IF(L13="","",MAX(L13,M13))</f>
        <v/>
      </c>
      <c r="X13" s="18" t="str">
        <f aca="false">IF(L13="","",MIN(L13,M13))</f>
        <v/>
      </c>
      <c r="Y13" s="18" t="str">
        <f aca="false">IF(OR(L13="",M13=""),"",IF(U13,CHOOSE(Q13,INDEX(GRP,X13+1,W13+1),INDEX(KO,X13+1,W13+1),INDEX(FIN,X13+1,W13+1)),R13))</f>
        <v/>
      </c>
    </row>
    <row r="14" customFormat="false" ht="15" hidden="false" customHeight="false" outlineLevel="0" collapsed="false">
      <c r="A14" s="9" t="n">
        <v>12</v>
      </c>
      <c r="B14" s="15"/>
      <c r="C14" s="15"/>
      <c r="D14" s="16"/>
      <c r="E14" s="16"/>
      <c r="F14" s="15"/>
      <c r="G14" s="15"/>
      <c r="H14" s="15"/>
      <c r="I14" s="15"/>
      <c r="J14" s="15"/>
      <c r="K14" s="15"/>
      <c r="L14" s="15"/>
      <c r="M14" s="15"/>
      <c r="N14" s="17" t="str">
        <f aca="false">IF(OR(L14="",M14="",J14="",K14=""),"",IF(S14=T14,Y14*V14*IF(F14="Y",2,1),0))</f>
        <v/>
      </c>
      <c r="O14" s="16"/>
      <c r="Q14" s="18" t="n">
        <f aca="false">IF(C14="Group",1,IF(OR(C14="SF",C14="3rd",C14="Final"),3,2))</f>
        <v>2</v>
      </c>
      <c r="R14" s="18" t="n">
        <f aca="false">CHOOSE(Q14,1,1.5,2)</f>
        <v>1.5</v>
      </c>
      <c r="S14" s="18" t="str">
        <f aca="false">IF(J14="","",IF(J14&gt;K14,"H",IF(J14=K14,"D","A")))</f>
        <v/>
      </c>
      <c r="T14" s="18" t="str">
        <f aca="false">IF(L14="","",IF(L14&gt;M14,"H",IF(L14=M14,"D","A")))</f>
        <v/>
      </c>
      <c r="U14" s="19" t="b">
        <f aca="false">AND(L14&lt;&gt;"",J14=L14,K14=M14)</f>
        <v>0</v>
      </c>
      <c r="V14" s="18" t="n">
        <f aca="false">IF(T14="H",G14,IF(T14="D",H14,IF(T14="A",I14,0)))</f>
        <v>0</v>
      </c>
      <c r="W14" s="18" t="str">
        <f aca="false">IF(L14="","",MAX(L14,M14))</f>
        <v/>
      </c>
      <c r="X14" s="18" t="str">
        <f aca="false">IF(L14="","",MIN(L14,M14))</f>
        <v/>
      </c>
      <c r="Y14" s="18" t="str">
        <f aca="false">IF(OR(L14="",M14=""),"",IF(U14,CHOOSE(Q14,INDEX(GRP,X14+1,W14+1),INDEX(KO,X14+1,W14+1),INDEX(FIN,X14+1,W14+1)),R14))</f>
        <v/>
      </c>
    </row>
    <row r="15" customFormat="false" ht="15" hidden="false" customHeight="false" outlineLevel="0" collapsed="false">
      <c r="A15" s="9" t="n">
        <v>13</v>
      </c>
      <c r="B15" s="15"/>
      <c r="C15" s="15"/>
      <c r="D15" s="16"/>
      <c r="E15" s="16"/>
      <c r="F15" s="15"/>
      <c r="G15" s="15"/>
      <c r="H15" s="15"/>
      <c r="I15" s="15"/>
      <c r="J15" s="15"/>
      <c r="K15" s="15"/>
      <c r="L15" s="15"/>
      <c r="M15" s="15"/>
      <c r="N15" s="17" t="str">
        <f aca="false">IF(OR(L15="",M15="",J15="",K15=""),"",IF(S15=T15,Y15*V15*IF(F15="Y",2,1),0))</f>
        <v/>
      </c>
      <c r="O15" s="16"/>
      <c r="Q15" s="18" t="n">
        <f aca="false">IF(C15="Group",1,IF(OR(C15="SF",C15="3rd",C15="Final"),3,2))</f>
        <v>2</v>
      </c>
      <c r="R15" s="18" t="n">
        <f aca="false">CHOOSE(Q15,1,1.5,2)</f>
        <v>1.5</v>
      </c>
      <c r="S15" s="18" t="str">
        <f aca="false">IF(J15="","",IF(J15&gt;K15,"H",IF(J15=K15,"D","A")))</f>
        <v/>
      </c>
      <c r="T15" s="18" t="str">
        <f aca="false">IF(L15="","",IF(L15&gt;M15,"H",IF(L15=M15,"D","A")))</f>
        <v/>
      </c>
      <c r="U15" s="19" t="b">
        <f aca="false">AND(L15&lt;&gt;"",J15=L15,K15=M15)</f>
        <v>0</v>
      </c>
      <c r="V15" s="18" t="n">
        <f aca="false">IF(T15="H",G15,IF(T15="D",H15,IF(T15="A",I15,0)))</f>
        <v>0</v>
      </c>
      <c r="W15" s="18" t="str">
        <f aca="false">IF(L15="","",MAX(L15,M15))</f>
        <v/>
      </c>
      <c r="X15" s="18" t="str">
        <f aca="false">IF(L15="","",MIN(L15,M15))</f>
        <v/>
      </c>
      <c r="Y15" s="18" t="str">
        <f aca="false">IF(OR(L15="",M15=""),"",IF(U15,CHOOSE(Q15,INDEX(GRP,X15+1,W15+1),INDEX(KO,X15+1,W15+1),INDEX(FIN,X15+1,W15+1)),R15))</f>
        <v/>
      </c>
    </row>
    <row r="16" customFormat="false" ht="15" hidden="false" customHeight="false" outlineLevel="0" collapsed="false">
      <c r="A16" s="9" t="n">
        <v>14</v>
      </c>
      <c r="B16" s="15"/>
      <c r="C16" s="15"/>
      <c r="D16" s="16"/>
      <c r="E16" s="16"/>
      <c r="F16" s="15"/>
      <c r="G16" s="15"/>
      <c r="H16" s="15"/>
      <c r="I16" s="15"/>
      <c r="J16" s="15"/>
      <c r="K16" s="15"/>
      <c r="L16" s="15"/>
      <c r="M16" s="15"/>
      <c r="N16" s="17" t="str">
        <f aca="false">IF(OR(L16="",M16="",J16="",K16=""),"",IF(S16=T16,Y16*V16*IF(F16="Y",2,1),0))</f>
        <v/>
      </c>
      <c r="O16" s="16"/>
      <c r="Q16" s="18" t="n">
        <f aca="false">IF(C16="Group",1,IF(OR(C16="SF",C16="3rd",C16="Final"),3,2))</f>
        <v>2</v>
      </c>
      <c r="R16" s="18" t="n">
        <f aca="false">CHOOSE(Q16,1,1.5,2)</f>
        <v>1.5</v>
      </c>
      <c r="S16" s="18" t="str">
        <f aca="false">IF(J16="","",IF(J16&gt;K16,"H",IF(J16=K16,"D","A")))</f>
        <v/>
      </c>
      <c r="T16" s="18" t="str">
        <f aca="false">IF(L16="","",IF(L16&gt;M16,"H",IF(L16=M16,"D","A")))</f>
        <v/>
      </c>
      <c r="U16" s="19" t="b">
        <f aca="false">AND(L16&lt;&gt;"",J16=L16,K16=M16)</f>
        <v>0</v>
      </c>
      <c r="V16" s="18" t="n">
        <f aca="false">IF(T16="H",G16,IF(T16="D",H16,IF(T16="A",I16,0)))</f>
        <v>0</v>
      </c>
      <c r="W16" s="18" t="str">
        <f aca="false">IF(L16="","",MAX(L16,M16))</f>
        <v/>
      </c>
      <c r="X16" s="18" t="str">
        <f aca="false">IF(L16="","",MIN(L16,M16))</f>
        <v/>
      </c>
      <c r="Y16" s="18" t="str">
        <f aca="false">IF(OR(L16="",M16=""),"",IF(U16,CHOOSE(Q16,INDEX(GRP,X16+1,W16+1),INDEX(KO,X16+1,W16+1),INDEX(FIN,X16+1,W16+1)),R16))</f>
        <v/>
      </c>
    </row>
    <row r="17" customFormat="false" ht="15" hidden="false" customHeight="false" outlineLevel="0" collapsed="false">
      <c r="A17" s="9" t="n">
        <v>15</v>
      </c>
      <c r="B17" s="15"/>
      <c r="C17" s="15"/>
      <c r="D17" s="16"/>
      <c r="E17" s="16"/>
      <c r="F17" s="15"/>
      <c r="G17" s="15"/>
      <c r="H17" s="15"/>
      <c r="I17" s="15"/>
      <c r="J17" s="15"/>
      <c r="K17" s="15"/>
      <c r="L17" s="15"/>
      <c r="M17" s="15"/>
      <c r="N17" s="17" t="str">
        <f aca="false">IF(OR(L17="",M17="",J17="",K17=""),"",IF(S17=T17,Y17*V17*IF(F17="Y",2,1),0))</f>
        <v/>
      </c>
      <c r="O17" s="16"/>
      <c r="Q17" s="18" t="n">
        <f aca="false">IF(C17="Group",1,IF(OR(C17="SF",C17="3rd",C17="Final"),3,2))</f>
        <v>2</v>
      </c>
      <c r="R17" s="18" t="n">
        <f aca="false">CHOOSE(Q17,1,1.5,2)</f>
        <v>1.5</v>
      </c>
      <c r="S17" s="18" t="str">
        <f aca="false">IF(J17="","",IF(J17&gt;K17,"H",IF(J17=K17,"D","A")))</f>
        <v/>
      </c>
      <c r="T17" s="18" t="str">
        <f aca="false">IF(L17="","",IF(L17&gt;M17,"H",IF(L17=M17,"D","A")))</f>
        <v/>
      </c>
      <c r="U17" s="19" t="b">
        <f aca="false">AND(L17&lt;&gt;"",J17=L17,K17=M17)</f>
        <v>0</v>
      </c>
      <c r="V17" s="18" t="n">
        <f aca="false">IF(T17="H",G17,IF(T17="D",H17,IF(T17="A",I17,0)))</f>
        <v>0</v>
      </c>
      <c r="W17" s="18" t="str">
        <f aca="false">IF(L17="","",MAX(L17,M17))</f>
        <v/>
      </c>
      <c r="X17" s="18" t="str">
        <f aca="false">IF(L17="","",MIN(L17,M17))</f>
        <v/>
      </c>
      <c r="Y17" s="18" t="str">
        <f aca="false">IF(OR(L17="",M17=""),"",IF(U17,CHOOSE(Q17,INDEX(GRP,X17+1,W17+1),INDEX(KO,X17+1,W17+1),INDEX(FIN,X17+1,W17+1)),R17))</f>
        <v/>
      </c>
    </row>
    <row r="18" customFormat="false" ht="15" hidden="false" customHeight="false" outlineLevel="0" collapsed="false">
      <c r="A18" s="9" t="n">
        <v>16</v>
      </c>
      <c r="B18" s="15"/>
      <c r="C18" s="15"/>
      <c r="D18" s="16"/>
      <c r="E18" s="16"/>
      <c r="F18" s="15"/>
      <c r="G18" s="15"/>
      <c r="H18" s="15"/>
      <c r="I18" s="15"/>
      <c r="J18" s="15"/>
      <c r="K18" s="15"/>
      <c r="L18" s="15"/>
      <c r="M18" s="15"/>
      <c r="N18" s="17" t="str">
        <f aca="false">IF(OR(L18="",M18="",J18="",K18=""),"",IF(S18=T18,Y18*V18*IF(F18="Y",2,1),0))</f>
        <v/>
      </c>
      <c r="O18" s="16"/>
      <c r="Q18" s="18" t="n">
        <f aca="false">IF(C18="Group",1,IF(OR(C18="SF",C18="3rd",C18="Final"),3,2))</f>
        <v>2</v>
      </c>
      <c r="R18" s="18" t="n">
        <f aca="false">CHOOSE(Q18,1,1.5,2)</f>
        <v>1.5</v>
      </c>
      <c r="S18" s="18" t="str">
        <f aca="false">IF(J18="","",IF(J18&gt;K18,"H",IF(J18=K18,"D","A")))</f>
        <v/>
      </c>
      <c r="T18" s="18" t="str">
        <f aca="false">IF(L18="","",IF(L18&gt;M18,"H",IF(L18=M18,"D","A")))</f>
        <v/>
      </c>
      <c r="U18" s="19" t="b">
        <f aca="false">AND(L18&lt;&gt;"",J18=L18,K18=M18)</f>
        <v>0</v>
      </c>
      <c r="V18" s="18" t="n">
        <f aca="false">IF(T18="H",G18,IF(T18="D",H18,IF(T18="A",I18,0)))</f>
        <v>0</v>
      </c>
      <c r="W18" s="18" t="str">
        <f aca="false">IF(L18="","",MAX(L18,M18))</f>
        <v/>
      </c>
      <c r="X18" s="18" t="str">
        <f aca="false">IF(L18="","",MIN(L18,M18))</f>
        <v/>
      </c>
      <c r="Y18" s="18" t="str">
        <f aca="false">IF(OR(L18="",M18=""),"",IF(U18,CHOOSE(Q18,INDEX(GRP,X18+1,W18+1),INDEX(KO,X18+1,W18+1),INDEX(FIN,X18+1,W18+1)),R18))</f>
        <v/>
      </c>
    </row>
    <row r="19" customFormat="false" ht="15" hidden="false" customHeight="false" outlineLevel="0" collapsed="false">
      <c r="A19" s="9" t="n">
        <v>17</v>
      </c>
      <c r="B19" s="15"/>
      <c r="C19" s="15"/>
      <c r="D19" s="16"/>
      <c r="E19" s="16"/>
      <c r="F19" s="15"/>
      <c r="G19" s="15"/>
      <c r="H19" s="15"/>
      <c r="I19" s="15"/>
      <c r="J19" s="15"/>
      <c r="K19" s="15"/>
      <c r="L19" s="15"/>
      <c r="M19" s="15"/>
      <c r="N19" s="17" t="str">
        <f aca="false">IF(OR(L19="",M19="",J19="",K19=""),"",IF(S19=T19,Y19*V19*IF(F19="Y",2,1),0))</f>
        <v/>
      </c>
      <c r="O19" s="16"/>
      <c r="Q19" s="18" t="n">
        <f aca="false">IF(C19="Group",1,IF(OR(C19="SF",C19="3rd",C19="Final"),3,2))</f>
        <v>2</v>
      </c>
      <c r="R19" s="18" t="n">
        <f aca="false">CHOOSE(Q19,1,1.5,2)</f>
        <v>1.5</v>
      </c>
      <c r="S19" s="18" t="str">
        <f aca="false">IF(J19="","",IF(J19&gt;K19,"H",IF(J19=K19,"D","A")))</f>
        <v/>
      </c>
      <c r="T19" s="18" t="str">
        <f aca="false">IF(L19="","",IF(L19&gt;M19,"H",IF(L19=M19,"D","A")))</f>
        <v/>
      </c>
      <c r="U19" s="19" t="b">
        <f aca="false">AND(L19&lt;&gt;"",J19=L19,K19=M19)</f>
        <v>0</v>
      </c>
      <c r="V19" s="18" t="n">
        <f aca="false">IF(T19="H",G19,IF(T19="D",H19,IF(T19="A",I19,0)))</f>
        <v>0</v>
      </c>
      <c r="W19" s="18" t="str">
        <f aca="false">IF(L19="","",MAX(L19,M19))</f>
        <v/>
      </c>
      <c r="X19" s="18" t="str">
        <f aca="false">IF(L19="","",MIN(L19,M19))</f>
        <v/>
      </c>
      <c r="Y19" s="18" t="str">
        <f aca="false">IF(OR(L19="",M19=""),"",IF(U19,CHOOSE(Q19,INDEX(GRP,X19+1,W19+1),INDEX(KO,X19+1,W19+1),INDEX(FIN,X19+1,W19+1)),R19))</f>
        <v/>
      </c>
    </row>
    <row r="20" customFormat="false" ht="15" hidden="false" customHeight="false" outlineLevel="0" collapsed="false">
      <c r="A20" s="9" t="n">
        <v>18</v>
      </c>
      <c r="B20" s="15"/>
      <c r="C20" s="15"/>
      <c r="D20" s="16"/>
      <c r="E20" s="16"/>
      <c r="F20" s="15"/>
      <c r="G20" s="15"/>
      <c r="H20" s="15"/>
      <c r="I20" s="15"/>
      <c r="J20" s="15"/>
      <c r="K20" s="15"/>
      <c r="L20" s="15"/>
      <c r="M20" s="15"/>
      <c r="N20" s="17" t="str">
        <f aca="false">IF(OR(L20="",M20="",J20="",K20=""),"",IF(S20=T20,Y20*V20*IF(F20="Y",2,1),0))</f>
        <v/>
      </c>
      <c r="O20" s="16"/>
      <c r="Q20" s="18" t="n">
        <f aca="false">IF(C20="Group",1,IF(OR(C20="SF",C20="3rd",C20="Final"),3,2))</f>
        <v>2</v>
      </c>
      <c r="R20" s="18" t="n">
        <f aca="false">CHOOSE(Q20,1,1.5,2)</f>
        <v>1.5</v>
      </c>
      <c r="S20" s="18" t="str">
        <f aca="false">IF(J20="","",IF(J20&gt;K20,"H",IF(J20=K20,"D","A")))</f>
        <v/>
      </c>
      <c r="T20" s="18" t="str">
        <f aca="false">IF(L20="","",IF(L20&gt;M20,"H",IF(L20=M20,"D","A")))</f>
        <v/>
      </c>
      <c r="U20" s="19" t="b">
        <f aca="false">AND(L20&lt;&gt;"",J20=L20,K20=M20)</f>
        <v>0</v>
      </c>
      <c r="V20" s="18" t="n">
        <f aca="false">IF(T20="H",G20,IF(T20="D",H20,IF(T20="A",I20,0)))</f>
        <v>0</v>
      </c>
      <c r="W20" s="18" t="str">
        <f aca="false">IF(L20="","",MAX(L20,M20))</f>
        <v/>
      </c>
      <c r="X20" s="18" t="str">
        <f aca="false">IF(L20="","",MIN(L20,M20))</f>
        <v/>
      </c>
      <c r="Y20" s="18" t="str">
        <f aca="false">IF(OR(L20="",M20=""),"",IF(U20,CHOOSE(Q20,INDEX(GRP,X20+1,W20+1),INDEX(KO,X20+1,W20+1),INDEX(FIN,X20+1,W20+1)),R20))</f>
        <v/>
      </c>
    </row>
    <row r="21" customFormat="false" ht="15" hidden="false" customHeight="false" outlineLevel="0" collapsed="false">
      <c r="A21" s="9" t="n">
        <v>19</v>
      </c>
      <c r="B21" s="15"/>
      <c r="C21" s="15"/>
      <c r="D21" s="16"/>
      <c r="E21" s="16"/>
      <c r="F21" s="15"/>
      <c r="G21" s="15"/>
      <c r="H21" s="15"/>
      <c r="I21" s="15"/>
      <c r="J21" s="15"/>
      <c r="K21" s="15"/>
      <c r="L21" s="15"/>
      <c r="M21" s="15"/>
      <c r="N21" s="17" t="str">
        <f aca="false">IF(OR(L21="",M21="",J21="",K21=""),"",IF(S21=T21,Y21*V21*IF(F21="Y",2,1),0))</f>
        <v/>
      </c>
      <c r="O21" s="16"/>
      <c r="Q21" s="18" t="n">
        <f aca="false">IF(C21="Group",1,IF(OR(C21="SF",C21="3rd",C21="Final"),3,2))</f>
        <v>2</v>
      </c>
      <c r="R21" s="18" t="n">
        <f aca="false">CHOOSE(Q21,1,1.5,2)</f>
        <v>1.5</v>
      </c>
      <c r="S21" s="18" t="str">
        <f aca="false">IF(J21="","",IF(J21&gt;K21,"H",IF(J21=K21,"D","A")))</f>
        <v/>
      </c>
      <c r="T21" s="18" t="str">
        <f aca="false">IF(L21="","",IF(L21&gt;M21,"H",IF(L21=M21,"D","A")))</f>
        <v/>
      </c>
      <c r="U21" s="19" t="b">
        <f aca="false">AND(L21&lt;&gt;"",J21=L21,K21=M21)</f>
        <v>0</v>
      </c>
      <c r="V21" s="18" t="n">
        <f aca="false">IF(T21="H",G21,IF(T21="D",H21,IF(T21="A",I21,0)))</f>
        <v>0</v>
      </c>
      <c r="W21" s="18" t="str">
        <f aca="false">IF(L21="","",MAX(L21,M21))</f>
        <v/>
      </c>
      <c r="X21" s="18" t="str">
        <f aca="false">IF(L21="","",MIN(L21,M21))</f>
        <v/>
      </c>
      <c r="Y21" s="18" t="str">
        <f aca="false">IF(OR(L21="",M21=""),"",IF(U21,CHOOSE(Q21,INDEX(GRP,X21+1,W21+1),INDEX(KO,X21+1,W21+1),INDEX(FIN,X21+1,W21+1)),R21))</f>
        <v/>
      </c>
    </row>
    <row r="22" customFormat="false" ht="15" hidden="false" customHeight="false" outlineLevel="0" collapsed="false">
      <c r="A22" s="9" t="n">
        <v>20</v>
      </c>
      <c r="B22" s="15"/>
      <c r="C22" s="15"/>
      <c r="D22" s="16"/>
      <c r="E22" s="16"/>
      <c r="F22" s="15"/>
      <c r="G22" s="15"/>
      <c r="H22" s="15"/>
      <c r="I22" s="15"/>
      <c r="J22" s="15"/>
      <c r="K22" s="15"/>
      <c r="L22" s="15"/>
      <c r="M22" s="15"/>
      <c r="N22" s="17" t="str">
        <f aca="false">IF(OR(L22="",M22="",J22="",K22=""),"",IF(S22=T22,Y22*V22*IF(F22="Y",2,1),0))</f>
        <v/>
      </c>
      <c r="O22" s="16"/>
      <c r="Q22" s="18" t="n">
        <f aca="false">IF(C22="Group",1,IF(OR(C22="SF",C22="3rd",C22="Final"),3,2))</f>
        <v>2</v>
      </c>
      <c r="R22" s="18" t="n">
        <f aca="false">CHOOSE(Q22,1,1.5,2)</f>
        <v>1.5</v>
      </c>
      <c r="S22" s="18" t="str">
        <f aca="false">IF(J22="","",IF(J22&gt;K22,"H",IF(J22=K22,"D","A")))</f>
        <v/>
      </c>
      <c r="T22" s="18" t="str">
        <f aca="false">IF(L22="","",IF(L22&gt;M22,"H",IF(L22=M22,"D","A")))</f>
        <v/>
      </c>
      <c r="U22" s="19" t="b">
        <f aca="false">AND(L22&lt;&gt;"",J22=L22,K22=M22)</f>
        <v>0</v>
      </c>
      <c r="V22" s="18" t="n">
        <f aca="false">IF(T22="H",G22,IF(T22="D",H22,IF(T22="A",I22,0)))</f>
        <v>0</v>
      </c>
      <c r="W22" s="18" t="str">
        <f aca="false">IF(L22="","",MAX(L22,M22))</f>
        <v/>
      </c>
      <c r="X22" s="18" t="str">
        <f aca="false">IF(L22="","",MIN(L22,M22))</f>
        <v/>
      </c>
      <c r="Y22" s="18" t="str">
        <f aca="false">IF(OR(L22="",M22=""),"",IF(U22,CHOOSE(Q22,INDEX(GRP,X22+1,W22+1),INDEX(KO,X22+1,W22+1),INDEX(FIN,X22+1,W22+1)),R22))</f>
        <v/>
      </c>
    </row>
    <row r="23" customFormat="false" ht="15" hidden="false" customHeight="false" outlineLevel="0" collapsed="false">
      <c r="A23" s="9" t="n">
        <v>21</v>
      </c>
      <c r="B23" s="15"/>
      <c r="C23" s="15"/>
      <c r="D23" s="16"/>
      <c r="E23" s="16"/>
      <c r="F23" s="15"/>
      <c r="G23" s="15"/>
      <c r="H23" s="15"/>
      <c r="I23" s="15"/>
      <c r="J23" s="15"/>
      <c r="K23" s="15"/>
      <c r="L23" s="15"/>
      <c r="M23" s="15"/>
      <c r="N23" s="17" t="str">
        <f aca="false">IF(OR(L23="",M23="",J23="",K23=""),"",IF(S23=T23,Y23*V23*IF(F23="Y",2,1),0))</f>
        <v/>
      </c>
      <c r="O23" s="16"/>
      <c r="Q23" s="18" t="n">
        <f aca="false">IF(C23="Group",1,IF(OR(C23="SF",C23="3rd",C23="Final"),3,2))</f>
        <v>2</v>
      </c>
      <c r="R23" s="18" t="n">
        <f aca="false">CHOOSE(Q23,1,1.5,2)</f>
        <v>1.5</v>
      </c>
      <c r="S23" s="18" t="str">
        <f aca="false">IF(J23="","",IF(J23&gt;K23,"H",IF(J23=K23,"D","A")))</f>
        <v/>
      </c>
      <c r="T23" s="18" t="str">
        <f aca="false">IF(L23="","",IF(L23&gt;M23,"H",IF(L23=M23,"D","A")))</f>
        <v/>
      </c>
      <c r="U23" s="19" t="b">
        <f aca="false">AND(L23&lt;&gt;"",J23=L23,K23=M23)</f>
        <v>0</v>
      </c>
      <c r="V23" s="18" t="n">
        <f aca="false">IF(T23="H",G23,IF(T23="D",H23,IF(T23="A",I23,0)))</f>
        <v>0</v>
      </c>
      <c r="W23" s="18" t="str">
        <f aca="false">IF(L23="","",MAX(L23,M23))</f>
        <v/>
      </c>
      <c r="X23" s="18" t="str">
        <f aca="false">IF(L23="","",MIN(L23,M23))</f>
        <v/>
      </c>
      <c r="Y23" s="18" t="str">
        <f aca="false">IF(OR(L23="",M23=""),"",IF(U23,CHOOSE(Q23,INDEX(GRP,X23+1,W23+1),INDEX(KO,X23+1,W23+1),INDEX(FIN,X23+1,W23+1)),R23))</f>
        <v/>
      </c>
    </row>
    <row r="24" customFormat="false" ht="15" hidden="false" customHeight="false" outlineLevel="0" collapsed="false">
      <c r="A24" s="9" t="n">
        <v>22</v>
      </c>
      <c r="B24" s="15"/>
      <c r="C24" s="15"/>
      <c r="D24" s="16"/>
      <c r="E24" s="16"/>
      <c r="F24" s="15"/>
      <c r="G24" s="15"/>
      <c r="H24" s="15"/>
      <c r="I24" s="15"/>
      <c r="J24" s="15"/>
      <c r="K24" s="15"/>
      <c r="L24" s="15"/>
      <c r="M24" s="15"/>
      <c r="N24" s="17" t="str">
        <f aca="false">IF(OR(L24="",M24="",J24="",K24=""),"",IF(S24=T24,Y24*V24*IF(F24="Y",2,1),0))</f>
        <v/>
      </c>
      <c r="O24" s="16"/>
      <c r="Q24" s="18" t="n">
        <f aca="false">IF(C24="Group",1,IF(OR(C24="SF",C24="3rd",C24="Final"),3,2))</f>
        <v>2</v>
      </c>
      <c r="R24" s="18" t="n">
        <f aca="false">CHOOSE(Q24,1,1.5,2)</f>
        <v>1.5</v>
      </c>
      <c r="S24" s="18" t="str">
        <f aca="false">IF(J24="","",IF(J24&gt;K24,"H",IF(J24=K24,"D","A")))</f>
        <v/>
      </c>
      <c r="T24" s="18" t="str">
        <f aca="false">IF(L24="","",IF(L24&gt;M24,"H",IF(L24=M24,"D","A")))</f>
        <v/>
      </c>
      <c r="U24" s="19" t="b">
        <f aca="false">AND(L24&lt;&gt;"",J24=L24,K24=M24)</f>
        <v>0</v>
      </c>
      <c r="V24" s="18" t="n">
        <f aca="false">IF(T24="H",G24,IF(T24="D",H24,IF(T24="A",I24,0)))</f>
        <v>0</v>
      </c>
      <c r="W24" s="18" t="str">
        <f aca="false">IF(L24="","",MAX(L24,M24))</f>
        <v/>
      </c>
      <c r="X24" s="18" t="str">
        <f aca="false">IF(L24="","",MIN(L24,M24))</f>
        <v/>
      </c>
      <c r="Y24" s="18" t="str">
        <f aca="false">IF(OR(L24="",M24=""),"",IF(U24,CHOOSE(Q24,INDEX(GRP,X24+1,W24+1),INDEX(KO,X24+1,W24+1),INDEX(FIN,X24+1,W24+1)),R24))</f>
        <v/>
      </c>
    </row>
    <row r="25" customFormat="false" ht="15" hidden="false" customHeight="false" outlineLevel="0" collapsed="false">
      <c r="A25" s="9" t="n">
        <v>23</v>
      </c>
      <c r="B25" s="15"/>
      <c r="C25" s="15"/>
      <c r="D25" s="16"/>
      <c r="E25" s="16"/>
      <c r="F25" s="15"/>
      <c r="G25" s="15"/>
      <c r="H25" s="15"/>
      <c r="I25" s="15"/>
      <c r="J25" s="15"/>
      <c r="K25" s="15"/>
      <c r="L25" s="15"/>
      <c r="M25" s="15"/>
      <c r="N25" s="17" t="str">
        <f aca="false">IF(OR(L25="",M25="",J25="",K25=""),"",IF(S25=T25,Y25*V25*IF(F25="Y",2,1),0))</f>
        <v/>
      </c>
      <c r="O25" s="16"/>
      <c r="Q25" s="18" t="n">
        <f aca="false">IF(C25="Group",1,IF(OR(C25="SF",C25="3rd",C25="Final"),3,2))</f>
        <v>2</v>
      </c>
      <c r="R25" s="18" t="n">
        <f aca="false">CHOOSE(Q25,1,1.5,2)</f>
        <v>1.5</v>
      </c>
      <c r="S25" s="18" t="str">
        <f aca="false">IF(J25="","",IF(J25&gt;K25,"H",IF(J25=K25,"D","A")))</f>
        <v/>
      </c>
      <c r="T25" s="18" t="str">
        <f aca="false">IF(L25="","",IF(L25&gt;M25,"H",IF(L25=M25,"D","A")))</f>
        <v/>
      </c>
      <c r="U25" s="19" t="b">
        <f aca="false">AND(L25&lt;&gt;"",J25=L25,K25=M25)</f>
        <v>0</v>
      </c>
      <c r="V25" s="18" t="n">
        <f aca="false">IF(T25="H",G25,IF(T25="D",H25,IF(T25="A",I25,0)))</f>
        <v>0</v>
      </c>
      <c r="W25" s="18" t="str">
        <f aca="false">IF(L25="","",MAX(L25,M25))</f>
        <v/>
      </c>
      <c r="X25" s="18" t="str">
        <f aca="false">IF(L25="","",MIN(L25,M25))</f>
        <v/>
      </c>
      <c r="Y25" s="18" t="str">
        <f aca="false">IF(OR(L25="",M25=""),"",IF(U25,CHOOSE(Q25,INDEX(GRP,X25+1,W25+1),INDEX(KO,X25+1,W25+1),INDEX(FIN,X25+1,W25+1)),R25))</f>
        <v/>
      </c>
    </row>
    <row r="26" customFormat="false" ht="15" hidden="false" customHeight="false" outlineLevel="0" collapsed="false">
      <c r="A26" s="9" t="n">
        <v>24</v>
      </c>
      <c r="B26" s="15"/>
      <c r="C26" s="15"/>
      <c r="D26" s="16"/>
      <c r="E26" s="16"/>
      <c r="F26" s="15"/>
      <c r="G26" s="15"/>
      <c r="H26" s="15"/>
      <c r="I26" s="15"/>
      <c r="J26" s="15"/>
      <c r="K26" s="15"/>
      <c r="L26" s="15"/>
      <c r="M26" s="15"/>
      <c r="N26" s="17" t="str">
        <f aca="false">IF(OR(L26="",M26="",J26="",K26=""),"",IF(S26=T26,Y26*V26*IF(F26="Y",2,1),0))</f>
        <v/>
      </c>
      <c r="O26" s="16"/>
      <c r="Q26" s="18" t="n">
        <f aca="false">IF(C26="Group",1,IF(OR(C26="SF",C26="3rd",C26="Final"),3,2))</f>
        <v>2</v>
      </c>
      <c r="R26" s="18" t="n">
        <f aca="false">CHOOSE(Q26,1,1.5,2)</f>
        <v>1.5</v>
      </c>
      <c r="S26" s="18" t="str">
        <f aca="false">IF(J26="","",IF(J26&gt;K26,"H",IF(J26=K26,"D","A")))</f>
        <v/>
      </c>
      <c r="T26" s="18" t="str">
        <f aca="false">IF(L26="","",IF(L26&gt;M26,"H",IF(L26=M26,"D","A")))</f>
        <v/>
      </c>
      <c r="U26" s="19" t="b">
        <f aca="false">AND(L26&lt;&gt;"",J26=L26,K26=M26)</f>
        <v>0</v>
      </c>
      <c r="V26" s="18" t="n">
        <f aca="false">IF(T26="H",G26,IF(T26="D",H26,IF(T26="A",I26,0)))</f>
        <v>0</v>
      </c>
      <c r="W26" s="18" t="str">
        <f aca="false">IF(L26="","",MAX(L26,M26))</f>
        <v/>
      </c>
      <c r="X26" s="18" t="str">
        <f aca="false">IF(L26="","",MIN(L26,M26))</f>
        <v/>
      </c>
      <c r="Y26" s="18" t="str">
        <f aca="false">IF(OR(L26="",M26=""),"",IF(U26,CHOOSE(Q26,INDEX(GRP,X26+1,W26+1),INDEX(KO,X26+1,W26+1),INDEX(FIN,X26+1,W26+1)),R26))</f>
        <v/>
      </c>
    </row>
    <row r="27" customFormat="false" ht="15" hidden="false" customHeight="false" outlineLevel="0" collapsed="false">
      <c r="A27" s="9" t="n">
        <v>25</v>
      </c>
      <c r="B27" s="15"/>
      <c r="C27" s="15"/>
      <c r="D27" s="16"/>
      <c r="E27" s="16"/>
      <c r="F27" s="15"/>
      <c r="G27" s="15"/>
      <c r="H27" s="15"/>
      <c r="I27" s="15"/>
      <c r="J27" s="15"/>
      <c r="K27" s="15"/>
      <c r="L27" s="15"/>
      <c r="M27" s="15"/>
      <c r="N27" s="17" t="str">
        <f aca="false">IF(OR(L27="",M27="",J27="",K27=""),"",IF(S27=T27,Y27*V27*IF(F27="Y",2,1),0))</f>
        <v/>
      </c>
      <c r="O27" s="16"/>
      <c r="Q27" s="18" t="n">
        <f aca="false">IF(C27="Group",1,IF(OR(C27="SF",C27="3rd",C27="Final"),3,2))</f>
        <v>2</v>
      </c>
      <c r="R27" s="18" t="n">
        <f aca="false">CHOOSE(Q27,1,1.5,2)</f>
        <v>1.5</v>
      </c>
      <c r="S27" s="18" t="str">
        <f aca="false">IF(J27="","",IF(J27&gt;K27,"H",IF(J27=K27,"D","A")))</f>
        <v/>
      </c>
      <c r="T27" s="18" t="str">
        <f aca="false">IF(L27="","",IF(L27&gt;M27,"H",IF(L27=M27,"D","A")))</f>
        <v/>
      </c>
      <c r="U27" s="19" t="b">
        <f aca="false">AND(L27&lt;&gt;"",J27=L27,K27=M27)</f>
        <v>0</v>
      </c>
      <c r="V27" s="18" t="n">
        <f aca="false">IF(T27="H",G27,IF(T27="D",H27,IF(T27="A",I27,0)))</f>
        <v>0</v>
      </c>
      <c r="W27" s="18" t="str">
        <f aca="false">IF(L27="","",MAX(L27,M27))</f>
        <v/>
      </c>
      <c r="X27" s="18" t="str">
        <f aca="false">IF(L27="","",MIN(L27,M27))</f>
        <v/>
      </c>
      <c r="Y27" s="18" t="str">
        <f aca="false">IF(OR(L27="",M27=""),"",IF(U27,CHOOSE(Q27,INDEX(GRP,X27+1,W27+1),INDEX(KO,X27+1,W27+1),INDEX(FIN,X27+1,W27+1)),R27))</f>
        <v/>
      </c>
    </row>
    <row r="28" customFormat="false" ht="15" hidden="false" customHeight="false" outlineLevel="0" collapsed="false">
      <c r="A28" s="9" t="n">
        <v>26</v>
      </c>
      <c r="B28" s="15"/>
      <c r="C28" s="15"/>
      <c r="D28" s="16"/>
      <c r="E28" s="16"/>
      <c r="F28" s="15"/>
      <c r="G28" s="15"/>
      <c r="H28" s="15"/>
      <c r="I28" s="15"/>
      <c r="J28" s="15"/>
      <c r="K28" s="15"/>
      <c r="L28" s="15"/>
      <c r="M28" s="15"/>
      <c r="N28" s="17" t="str">
        <f aca="false">IF(OR(L28="",M28="",J28="",K28=""),"",IF(S28=T28,Y28*V28*IF(F28="Y",2,1),0))</f>
        <v/>
      </c>
      <c r="O28" s="16"/>
      <c r="Q28" s="18" t="n">
        <f aca="false">IF(C28="Group",1,IF(OR(C28="SF",C28="3rd",C28="Final"),3,2))</f>
        <v>2</v>
      </c>
      <c r="R28" s="18" t="n">
        <f aca="false">CHOOSE(Q28,1,1.5,2)</f>
        <v>1.5</v>
      </c>
      <c r="S28" s="18" t="str">
        <f aca="false">IF(J28="","",IF(J28&gt;K28,"H",IF(J28=K28,"D","A")))</f>
        <v/>
      </c>
      <c r="T28" s="18" t="str">
        <f aca="false">IF(L28="","",IF(L28&gt;M28,"H",IF(L28=M28,"D","A")))</f>
        <v/>
      </c>
      <c r="U28" s="19" t="b">
        <f aca="false">AND(L28&lt;&gt;"",J28=L28,K28=M28)</f>
        <v>0</v>
      </c>
      <c r="V28" s="18" t="n">
        <f aca="false">IF(T28="H",G28,IF(T28="D",H28,IF(T28="A",I28,0)))</f>
        <v>0</v>
      </c>
      <c r="W28" s="18" t="str">
        <f aca="false">IF(L28="","",MAX(L28,M28))</f>
        <v/>
      </c>
      <c r="X28" s="18" t="str">
        <f aca="false">IF(L28="","",MIN(L28,M28))</f>
        <v/>
      </c>
      <c r="Y28" s="18" t="str">
        <f aca="false">IF(OR(L28="",M28=""),"",IF(U28,CHOOSE(Q28,INDEX(GRP,X28+1,W28+1),INDEX(KO,X28+1,W28+1),INDEX(FIN,X28+1,W28+1)),R28))</f>
        <v/>
      </c>
    </row>
    <row r="29" customFormat="false" ht="15" hidden="false" customHeight="false" outlineLevel="0" collapsed="false">
      <c r="A29" s="9" t="n">
        <v>27</v>
      </c>
      <c r="B29" s="15"/>
      <c r="C29" s="15"/>
      <c r="D29" s="16"/>
      <c r="E29" s="16"/>
      <c r="F29" s="15"/>
      <c r="G29" s="15"/>
      <c r="H29" s="15"/>
      <c r="I29" s="15"/>
      <c r="J29" s="15"/>
      <c r="K29" s="15"/>
      <c r="L29" s="15"/>
      <c r="M29" s="15"/>
      <c r="N29" s="17" t="str">
        <f aca="false">IF(OR(L29="",M29="",J29="",K29=""),"",IF(S29=T29,Y29*V29*IF(F29="Y",2,1),0))</f>
        <v/>
      </c>
      <c r="O29" s="16"/>
      <c r="Q29" s="18" t="n">
        <f aca="false">IF(C29="Group",1,IF(OR(C29="SF",C29="3rd",C29="Final"),3,2))</f>
        <v>2</v>
      </c>
      <c r="R29" s="18" t="n">
        <f aca="false">CHOOSE(Q29,1,1.5,2)</f>
        <v>1.5</v>
      </c>
      <c r="S29" s="18" t="str">
        <f aca="false">IF(J29="","",IF(J29&gt;K29,"H",IF(J29=K29,"D","A")))</f>
        <v/>
      </c>
      <c r="T29" s="18" t="str">
        <f aca="false">IF(L29="","",IF(L29&gt;M29,"H",IF(L29=M29,"D","A")))</f>
        <v/>
      </c>
      <c r="U29" s="19" t="b">
        <f aca="false">AND(L29&lt;&gt;"",J29=L29,K29=M29)</f>
        <v>0</v>
      </c>
      <c r="V29" s="18" t="n">
        <f aca="false">IF(T29="H",G29,IF(T29="D",H29,IF(T29="A",I29,0)))</f>
        <v>0</v>
      </c>
      <c r="W29" s="18" t="str">
        <f aca="false">IF(L29="","",MAX(L29,M29))</f>
        <v/>
      </c>
      <c r="X29" s="18" t="str">
        <f aca="false">IF(L29="","",MIN(L29,M29))</f>
        <v/>
      </c>
      <c r="Y29" s="18" t="str">
        <f aca="false">IF(OR(L29="",M29=""),"",IF(U29,CHOOSE(Q29,INDEX(GRP,X29+1,W29+1),INDEX(KO,X29+1,W29+1),INDEX(FIN,X29+1,W29+1)),R29))</f>
        <v/>
      </c>
    </row>
    <row r="30" customFormat="false" ht="15" hidden="false" customHeight="false" outlineLevel="0" collapsed="false">
      <c r="A30" s="9" t="n">
        <v>28</v>
      </c>
      <c r="B30" s="15"/>
      <c r="C30" s="15"/>
      <c r="D30" s="16"/>
      <c r="E30" s="16"/>
      <c r="F30" s="15"/>
      <c r="G30" s="15"/>
      <c r="H30" s="15"/>
      <c r="I30" s="15"/>
      <c r="J30" s="15"/>
      <c r="K30" s="15"/>
      <c r="L30" s="15"/>
      <c r="M30" s="15"/>
      <c r="N30" s="17" t="str">
        <f aca="false">IF(OR(L30="",M30="",J30="",K30=""),"",IF(S30=T30,Y30*V30*IF(F30="Y",2,1),0))</f>
        <v/>
      </c>
      <c r="O30" s="16"/>
      <c r="Q30" s="18" t="n">
        <f aca="false">IF(C30="Group",1,IF(OR(C30="SF",C30="3rd",C30="Final"),3,2))</f>
        <v>2</v>
      </c>
      <c r="R30" s="18" t="n">
        <f aca="false">CHOOSE(Q30,1,1.5,2)</f>
        <v>1.5</v>
      </c>
      <c r="S30" s="18" t="str">
        <f aca="false">IF(J30="","",IF(J30&gt;K30,"H",IF(J30=K30,"D","A")))</f>
        <v/>
      </c>
      <c r="T30" s="18" t="str">
        <f aca="false">IF(L30="","",IF(L30&gt;M30,"H",IF(L30=M30,"D","A")))</f>
        <v/>
      </c>
      <c r="U30" s="19" t="b">
        <f aca="false">AND(L30&lt;&gt;"",J30=L30,K30=M30)</f>
        <v>0</v>
      </c>
      <c r="V30" s="18" t="n">
        <f aca="false">IF(T30="H",G30,IF(T30="D",H30,IF(T30="A",I30,0)))</f>
        <v>0</v>
      </c>
      <c r="W30" s="18" t="str">
        <f aca="false">IF(L30="","",MAX(L30,M30))</f>
        <v/>
      </c>
      <c r="X30" s="18" t="str">
        <f aca="false">IF(L30="","",MIN(L30,M30))</f>
        <v/>
      </c>
      <c r="Y30" s="18" t="str">
        <f aca="false">IF(OR(L30="",M30=""),"",IF(U30,CHOOSE(Q30,INDEX(GRP,X30+1,W30+1),INDEX(KO,X30+1,W30+1),INDEX(FIN,X30+1,W30+1)),R30))</f>
        <v/>
      </c>
    </row>
    <row r="31" customFormat="false" ht="15" hidden="false" customHeight="false" outlineLevel="0" collapsed="false">
      <c r="A31" s="9" t="n">
        <v>29</v>
      </c>
      <c r="B31" s="15"/>
      <c r="C31" s="15"/>
      <c r="D31" s="16"/>
      <c r="E31" s="16"/>
      <c r="F31" s="15"/>
      <c r="G31" s="15"/>
      <c r="H31" s="15"/>
      <c r="I31" s="15"/>
      <c r="J31" s="15"/>
      <c r="K31" s="15"/>
      <c r="L31" s="15"/>
      <c r="M31" s="15"/>
      <c r="N31" s="17" t="str">
        <f aca="false">IF(OR(L31="",M31="",J31="",K31=""),"",IF(S31=T31,Y31*V31*IF(F31="Y",2,1),0))</f>
        <v/>
      </c>
      <c r="O31" s="16"/>
      <c r="Q31" s="18" t="n">
        <f aca="false">IF(C31="Group",1,IF(OR(C31="SF",C31="3rd",C31="Final"),3,2))</f>
        <v>2</v>
      </c>
      <c r="R31" s="18" t="n">
        <f aca="false">CHOOSE(Q31,1,1.5,2)</f>
        <v>1.5</v>
      </c>
      <c r="S31" s="18" t="str">
        <f aca="false">IF(J31="","",IF(J31&gt;K31,"H",IF(J31=K31,"D","A")))</f>
        <v/>
      </c>
      <c r="T31" s="18" t="str">
        <f aca="false">IF(L31="","",IF(L31&gt;M31,"H",IF(L31=M31,"D","A")))</f>
        <v/>
      </c>
      <c r="U31" s="19" t="b">
        <f aca="false">AND(L31&lt;&gt;"",J31=L31,K31=M31)</f>
        <v>0</v>
      </c>
      <c r="V31" s="18" t="n">
        <f aca="false">IF(T31="H",G31,IF(T31="D",H31,IF(T31="A",I31,0)))</f>
        <v>0</v>
      </c>
      <c r="W31" s="18" t="str">
        <f aca="false">IF(L31="","",MAX(L31,M31))</f>
        <v/>
      </c>
      <c r="X31" s="18" t="str">
        <f aca="false">IF(L31="","",MIN(L31,M31))</f>
        <v/>
      </c>
      <c r="Y31" s="18" t="str">
        <f aca="false">IF(OR(L31="",M31=""),"",IF(U31,CHOOSE(Q31,INDEX(GRP,X31+1,W31+1),INDEX(KO,X31+1,W31+1),INDEX(FIN,X31+1,W31+1)),R31))</f>
        <v/>
      </c>
    </row>
    <row r="32" customFormat="false" ht="15" hidden="false" customHeight="false" outlineLevel="0" collapsed="false">
      <c r="A32" s="9" t="n">
        <v>30</v>
      </c>
      <c r="B32" s="15"/>
      <c r="C32" s="15"/>
      <c r="D32" s="16"/>
      <c r="E32" s="16"/>
      <c r="F32" s="15"/>
      <c r="G32" s="15"/>
      <c r="H32" s="15"/>
      <c r="I32" s="15"/>
      <c r="J32" s="15"/>
      <c r="K32" s="15"/>
      <c r="L32" s="15"/>
      <c r="M32" s="15"/>
      <c r="N32" s="17" t="str">
        <f aca="false">IF(OR(L32="",M32="",J32="",K32=""),"",IF(S32=T32,Y32*V32*IF(F32="Y",2,1),0))</f>
        <v/>
      </c>
      <c r="O32" s="16"/>
      <c r="Q32" s="18" t="n">
        <f aca="false">IF(C32="Group",1,IF(OR(C32="SF",C32="3rd",C32="Final"),3,2))</f>
        <v>2</v>
      </c>
      <c r="R32" s="18" t="n">
        <f aca="false">CHOOSE(Q32,1,1.5,2)</f>
        <v>1.5</v>
      </c>
      <c r="S32" s="18" t="str">
        <f aca="false">IF(J32="","",IF(J32&gt;K32,"H",IF(J32=K32,"D","A")))</f>
        <v/>
      </c>
      <c r="T32" s="18" t="str">
        <f aca="false">IF(L32="","",IF(L32&gt;M32,"H",IF(L32=M32,"D","A")))</f>
        <v/>
      </c>
      <c r="U32" s="19" t="b">
        <f aca="false">AND(L32&lt;&gt;"",J32=L32,K32=M32)</f>
        <v>0</v>
      </c>
      <c r="V32" s="18" t="n">
        <f aca="false">IF(T32="H",G32,IF(T32="D",H32,IF(T32="A",I32,0)))</f>
        <v>0</v>
      </c>
      <c r="W32" s="18" t="str">
        <f aca="false">IF(L32="","",MAX(L32,M32))</f>
        <v/>
      </c>
      <c r="X32" s="18" t="str">
        <f aca="false">IF(L32="","",MIN(L32,M32))</f>
        <v/>
      </c>
      <c r="Y32" s="18" t="str">
        <f aca="false">IF(OR(L32="",M32=""),"",IF(U32,CHOOSE(Q32,INDEX(GRP,X32+1,W32+1),INDEX(KO,X32+1,W32+1),INDEX(FIN,X32+1,W32+1)),R32))</f>
        <v/>
      </c>
    </row>
    <row r="33" customFormat="false" ht="15" hidden="false" customHeight="false" outlineLevel="0" collapsed="false">
      <c r="A33" s="9" t="n">
        <v>31</v>
      </c>
      <c r="B33" s="15"/>
      <c r="C33" s="15"/>
      <c r="D33" s="16"/>
      <c r="E33" s="16"/>
      <c r="F33" s="15"/>
      <c r="G33" s="15"/>
      <c r="H33" s="15"/>
      <c r="I33" s="15"/>
      <c r="J33" s="15"/>
      <c r="K33" s="15"/>
      <c r="L33" s="15"/>
      <c r="M33" s="15"/>
      <c r="N33" s="17" t="str">
        <f aca="false">IF(OR(L33="",M33="",J33="",K33=""),"",IF(S33=T33,Y33*V33*IF(F33="Y",2,1),0))</f>
        <v/>
      </c>
      <c r="O33" s="16"/>
      <c r="Q33" s="18" t="n">
        <f aca="false">IF(C33="Group",1,IF(OR(C33="SF",C33="3rd",C33="Final"),3,2))</f>
        <v>2</v>
      </c>
      <c r="R33" s="18" t="n">
        <f aca="false">CHOOSE(Q33,1,1.5,2)</f>
        <v>1.5</v>
      </c>
      <c r="S33" s="18" t="str">
        <f aca="false">IF(J33="","",IF(J33&gt;K33,"H",IF(J33=K33,"D","A")))</f>
        <v/>
      </c>
      <c r="T33" s="18" t="str">
        <f aca="false">IF(L33="","",IF(L33&gt;M33,"H",IF(L33=M33,"D","A")))</f>
        <v/>
      </c>
      <c r="U33" s="19" t="b">
        <f aca="false">AND(L33&lt;&gt;"",J33=L33,K33=M33)</f>
        <v>0</v>
      </c>
      <c r="V33" s="18" t="n">
        <f aca="false">IF(T33="H",G33,IF(T33="D",H33,IF(T33="A",I33,0)))</f>
        <v>0</v>
      </c>
      <c r="W33" s="18" t="str">
        <f aca="false">IF(L33="","",MAX(L33,M33))</f>
        <v/>
      </c>
      <c r="X33" s="18" t="str">
        <f aca="false">IF(L33="","",MIN(L33,M33))</f>
        <v/>
      </c>
      <c r="Y33" s="18" t="str">
        <f aca="false">IF(OR(L33="",M33=""),"",IF(U33,CHOOSE(Q33,INDEX(GRP,X33+1,W33+1),INDEX(KO,X33+1,W33+1),INDEX(FIN,X33+1,W33+1)),R33))</f>
        <v/>
      </c>
    </row>
    <row r="34" customFormat="false" ht="15" hidden="false" customHeight="false" outlineLevel="0" collapsed="false">
      <c r="A34" s="9" t="n">
        <v>32</v>
      </c>
      <c r="B34" s="15"/>
      <c r="C34" s="15"/>
      <c r="D34" s="16"/>
      <c r="E34" s="16"/>
      <c r="F34" s="15"/>
      <c r="G34" s="15"/>
      <c r="H34" s="15"/>
      <c r="I34" s="15"/>
      <c r="J34" s="15"/>
      <c r="K34" s="15"/>
      <c r="L34" s="15"/>
      <c r="M34" s="15"/>
      <c r="N34" s="17" t="str">
        <f aca="false">IF(OR(L34="",M34="",J34="",K34=""),"",IF(S34=T34,Y34*V34*IF(F34="Y",2,1),0))</f>
        <v/>
      </c>
      <c r="O34" s="16"/>
      <c r="Q34" s="18" t="n">
        <f aca="false">IF(C34="Group",1,IF(OR(C34="SF",C34="3rd",C34="Final"),3,2))</f>
        <v>2</v>
      </c>
      <c r="R34" s="18" t="n">
        <f aca="false">CHOOSE(Q34,1,1.5,2)</f>
        <v>1.5</v>
      </c>
      <c r="S34" s="18" t="str">
        <f aca="false">IF(J34="","",IF(J34&gt;K34,"H",IF(J34=K34,"D","A")))</f>
        <v/>
      </c>
      <c r="T34" s="18" t="str">
        <f aca="false">IF(L34="","",IF(L34&gt;M34,"H",IF(L34=M34,"D","A")))</f>
        <v/>
      </c>
      <c r="U34" s="19" t="b">
        <f aca="false">AND(L34&lt;&gt;"",J34=L34,K34=M34)</f>
        <v>0</v>
      </c>
      <c r="V34" s="18" t="n">
        <f aca="false">IF(T34="H",G34,IF(T34="D",H34,IF(T34="A",I34,0)))</f>
        <v>0</v>
      </c>
      <c r="W34" s="18" t="str">
        <f aca="false">IF(L34="","",MAX(L34,M34))</f>
        <v/>
      </c>
      <c r="X34" s="18" t="str">
        <f aca="false">IF(L34="","",MIN(L34,M34))</f>
        <v/>
      </c>
      <c r="Y34" s="18" t="str">
        <f aca="false">IF(OR(L34="",M34=""),"",IF(U34,CHOOSE(Q34,INDEX(GRP,X34+1,W34+1),INDEX(KO,X34+1,W34+1),INDEX(FIN,X34+1,W34+1)),R34))</f>
        <v/>
      </c>
    </row>
    <row r="35" customFormat="false" ht="15" hidden="false" customHeight="false" outlineLevel="0" collapsed="false">
      <c r="A35" s="9" t="n">
        <v>33</v>
      </c>
      <c r="B35" s="15"/>
      <c r="C35" s="15"/>
      <c r="D35" s="16"/>
      <c r="E35" s="16"/>
      <c r="F35" s="15"/>
      <c r="G35" s="15"/>
      <c r="H35" s="15"/>
      <c r="I35" s="15"/>
      <c r="J35" s="15"/>
      <c r="K35" s="15"/>
      <c r="L35" s="15"/>
      <c r="M35" s="15"/>
      <c r="N35" s="17" t="str">
        <f aca="false">IF(OR(L35="",M35="",J35="",K35=""),"",IF(S35=T35,Y35*V35*IF(F35="Y",2,1),0))</f>
        <v/>
      </c>
      <c r="O35" s="16"/>
      <c r="Q35" s="18" t="n">
        <f aca="false">IF(C35="Group",1,IF(OR(C35="SF",C35="3rd",C35="Final"),3,2))</f>
        <v>2</v>
      </c>
      <c r="R35" s="18" t="n">
        <f aca="false">CHOOSE(Q35,1,1.5,2)</f>
        <v>1.5</v>
      </c>
      <c r="S35" s="18" t="str">
        <f aca="false">IF(J35="","",IF(J35&gt;K35,"H",IF(J35=K35,"D","A")))</f>
        <v/>
      </c>
      <c r="T35" s="18" t="str">
        <f aca="false">IF(L35="","",IF(L35&gt;M35,"H",IF(L35=M35,"D","A")))</f>
        <v/>
      </c>
      <c r="U35" s="19" t="b">
        <f aca="false">AND(L35&lt;&gt;"",J35=L35,K35=M35)</f>
        <v>0</v>
      </c>
      <c r="V35" s="18" t="n">
        <f aca="false">IF(T35="H",G35,IF(T35="D",H35,IF(T35="A",I35,0)))</f>
        <v>0</v>
      </c>
      <c r="W35" s="18" t="str">
        <f aca="false">IF(L35="","",MAX(L35,M35))</f>
        <v/>
      </c>
      <c r="X35" s="18" t="str">
        <f aca="false">IF(L35="","",MIN(L35,M35))</f>
        <v/>
      </c>
      <c r="Y35" s="18" t="str">
        <f aca="false">IF(OR(L35="",M35=""),"",IF(U35,CHOOSE(Q35,INDEX(GRP,X35+1,W35+1),INDEX(KO,X35+1,W35+1),INDEX(FIN,X35+1,W35+1)),R35))</f>
        <v/>
      </c>
    </row>
    <row r="36" customFormat="false" ht="15" hidden="false" customHeight="false" outlineLevel="0" collapsed="false">
      <c r="A36" s="9" t="n">
        <v>34</v>
      </c>
      <c r="B36" s="15"/>
      <c r="C36" s="15"/>
      <c r="D36" s="16"/>
      <c r="E36" s="16"/>
      <c r="F36" s="15"/>
      <c r="G36" s="15"/>
      <c r="H36" s="15"/>
      <c r="I36" s="15"/>
      <c r="J36" s="15"/>
      <c r="K36" s="15"/>
      <c r="L36" s="15"/>
      <c r="M36" s="15"/>
      <c r="N36" s="17" t="str">
        <f aca="false">IF(OR(L36="",M36="",J36="",K36=""),"",IF(S36=T36,Y36*V36*IF(F36="Y",2,1),0))</f>
        <v/>
      </c>
      <c r="O36" s="16"/>
      <c r="Q36" s="18" t="n">
        <f aca="false">IF(C36="Group",1,IF(OR(C36="SF",C36="3rd",C36="Final"),3,2))</f>
        <v>2</v>
      </c>
      <c r="R36" s="18" t="n">
        <f aca="false">CHOOSE(Q36,1,1.5,2)</f>
        <v>1.5</v>
      </c>
      <c r="S36" s="18" t="str">
        <f aca="false">IF(J36="","",IF(J36&gt;K36,"H",IF(J36=K36,"D","A")))</f>
        <v/>
      </c>
      <c r="T36" s="18" t="str">
        <f aca="false">IF(L36="","",IF(L36&gt;M36,"H",IF(L36=M36,"D","A")))</f>
        <v/>
      </c>
      <c r="U36" s="19" t="b">
        <f aca="false">AND(L36&lt;&gt;"",J36=L36,K36=M36)</f>
        <v>0</v>
      </c>
      <c r="V36" s="18" t="n">
        <f aca="false">IF(T36="H",G36,IF(T36="D",H36,IF(T36="A",I36,0)))</f>
        <v>0</v>
      </c>
      <c r="W36" s="18" t="str">
        <f aca="false">IF(L36="","",MAX(L36,M36))</f>
        <v/>
      </c>
      <c r="X36" s="18" t="str">
        <f aca="false">IF(L36="","",MIN(L36,M36))</f>
        <v/>
      </c>
      <c r="Y36" s="18" t="str">
        <f aca="false">IF(OR(L36="",M36=""),"",IF(U36,CHOOSE(Q36,INDEX(GRP,X36+1,W36+1),INDEX(KO,X36+1,W36+1),INDEX(FIN,X36+1,W36+1)),R36))</f>
        <v/>
      </c>
    </row>
    <row r="37" customFormat="false" ht="15" hidden="false" customHeight="false" outlineLevel="0" collapsed="false">
      <c r="A37" s="9" t="n">
        <v>35</v>
      </c>
      <c r="B37" s="15"/>
      <c r="C37" s="15"/>
      <c r="D37" s="16"/>
      <c r="E37" s="16"/>
      <c r="F37" s="15"/>
      <c r="G37" s="15"/>
      <c r="H37" s="15"/>
      <c r="I37" s="15"/>
      <c r="J37" s="15"/>
      <c r="K37" s="15"/>
      <c r="L37" s="15"/>
      <c r="M37" s="15"/>
      <c r="N37" s="17" t="str">
        <f aca="false">IF(OR(L37="",M37="",J37="",K37=""),"",IF(S37=T37,Y37*V37*IF(F37="Y",2,1),0))</f>
        <v/>
      </c>
      <c r="O37" s="16"/>
      <c r="Q37" s="18" t="n">
        <f aca="false">IF(C37="Group",1,IF(OR(C37="SF",C37="3rd",C37="Final"),3,2))</f>
        <v>2</v>
      </c>
      <c r="R37" s="18" t="n">
        <f aca="false">CHOOSE(Q37,1,1.5,2)</f>
        <v>1.5</v>
      </c>
      <c r="S37" s="18" t="str">
        <f aca="false">IF(J37="","",IF(J37&gt;K37,"H",IF(J37=K37,"D","A")))</f>
        <v/>
      </c>
      <c r="T37" s="18" t="str">
        <f aca="false">IF(L37="","",IF(L37&gt;M37,"H",IF(L37=M37,"D","A")))</f>
        <v/>
      </c>
      <c r="U37" s="19" t="b">
        <f aca="false">AND(L37&lt;&gt;"",J37=L37,K37=M37)</f>
        <v>0</v>
      </c>
      <c r="V37" s="18" t="n">
        <f aca="false">IF(T37="H",G37,IF(T37="D",H37,IF(T37="A",I37,0)))</f>
        <v>0</v>
      </c>
      <c r="W37" s="18" t="str">
        <f aca="false">IF(L37="","",MAX(L37,M37))</f>
        <v/>
      </c>
      <c r="X37" s="18" t="str">
        <f aca="false">IF(L37="","",MIN(L37,M37))</f>
        <v/>
      </c>
      <c r="Y37" s="18" t="str">
        <f aca="false">IF(OR(L37="",M37=""),"",IF(U37,CHOOSE(Q37,INDEX(GRP,X37+1,W37+1),INDEX(KO,X37+1,W37+1),INDEX(FIN,X37+1,W37+1)),R37))</f>
        <v/>
      </c>
    </row>
    <row r="38" customFormat="false" ht="15" hidden="false" customHeight="false" outlineLevel="0" collapsed="false">
      <c r="A38" s="9" t="n">
        <v>36</v>
      </c>
      <c r="B38" s="15"/>
      <c r="C38" s="15"/>
      <c r="D38" s="16"/>
      <c r="E38" s="16"/>
      <c r="F38" s="15"/>
      <c r="G38" s="15"/>
      <c r="H38" s="15"/>
      <c r="I38" s="15"/>
      <c r="J38" s="15"/>
      <c r="K38" s="15"/>
      <c r="L38" s="15"/>
      <c r="M38" s="15"/>
      <c r="N38" s="17" t="str">
        <f aca="false">IF(OR(L38="",M38="",J38="",K38=""),"",IF(S38=T38,Y38*V38*IF(F38="Y",2,1),0))</f>
        <v/>
      </c>
      <c r="O38" s="16"/>
      <c r="Q38" s="18" t="n">
        <f aca="false">IF(C38="Group",1,IF(OR(C38="SF",C38="3rd",C38="Final"),3,2))</f>
        <v>2</v>
      </c>
      <c r="R38" s="18" t="n">
        <f aca="false">CHOOSE(Q38,1,1.5,2)</f>
        <v>1.5</v>
      </c>
      <c r="S38" s="18" t="str">
        <f aca="false">IF(J38="","",IF(J38&gt;K38,"H",IF(J38=K38,"D","A")))</f>
        <v/>
      </c>
      <c r="T38" s="18" t="str">
        <f aca="false">IF(L38="","",IF(L38&gt;M38,"H",IF(L38=M38,"D","A")))</f>
        <v/>
      </c>
      <c r="U38" s="19" t="b">
        <f aca="false">AND(L38&lt;&gt;"",J38=L38,K38=M38)</f>
        <v>0</v>
      </c>
      <c r="V38" s="18" t="n">
        <f aca="false">IF(T38="H",G38,IF(T38="D",H38,IF(T38="A",I38,0)))</f>
        <v>0</v>
      </c>
      <c r="W38" s="18" t="str">
        <f aca="false">IF(L38="","",MAX(L38,M38))</f>
        <v/>
      </c>
      <c r="X38" s="18" t="str">
        <f aca="false">IF(L38="","",MIN(L38,M38))</f>
        <v/>
      </c>
      <c r="Y38" s="18" t="str">
        <f aca="false">IF(OR(L38="",M38=""),"",IF(U38,CHOOSE(Q38,INDEX(GRP,X38+1,W38+1),INDEX(KO,X38+1,W38+1),INDEX(FIN,X38+1,W38+1)),R38))</f>
        <v/>
      </c>
    </row>
    <row r="39" customFormat="false" ht="15" hidden="false" customHeight="false" outlineLevel="0" collapsed="false">
      <c r="A39" s="9" t="n">
        <v>37</v>
      </c>
      <c r="B39" s="15"/>
      <c r="C39" s="15"/>
      <c r="D39" s="16"/>
      <c r="E39" s="16"/>
      <c r="F39" s="15"/>
      <c r="G39" s="15"/>
      <c r="H39" s="15"/>
      <c r="I39" s="15"/>
      <c r="J39" s="15"/>
      <c r="K39" s="15"/>
      <c r="L39" s="15"/>
      <c r="M39" s="15"/>
      <c r="N39" s="17" t="str">
        <f aca="false">IF(OR(L39="",M39="",J39="",K39=""),"",IF(S39=T39,Y39*V39*IF(F39="Y",2,1),0))</f>
        <v/>
      </c>
      <c r="O39" s="16"/>
      <c r="Q39" s="18" t="n">
        <f aca="false">IF(C39="Group",1,IF(OR(C39="SF",C39="3rd",C39="Final"),3,2))</f>
        <v>2</v>
      </c>
      <c r="R39" s="18" t="n">
        <f aca="false">CHOOSE(Q39,1,1.5,2)</f>
        <v>1.5</v>
      </c>
      <c r="S39" s="18" t="str">
        <f aca="false">IF(J39="","",IF(J39&gt;K39,"H",IF(J39=K39,"D","A")))</f>
        <v/>
      </c>
      <c r="T39" s="18" t="str">
        <f aca="false">IF(L39="","",IF(L39&gt;M39,"H",IF(L39=M39,"D","A")))</f>
        <v/>
      </c>
      <c r="U39" s="19" t="b">
        <f aca="false">AND(L39&lt;&gt;"",J39=L39,K39=M39)</f>
        <v>0</v>
      </c>
      <c r="V39" s="18" t="n">
        <f aca="false">IF(T39="H",G39,IF(T39="D",H39,IF(T39="A",I39,0)))</f>
        <v>0</v>
      </c>
      <c r="W39" s="18" t="str">
        <f aca="false">IF(L39="","",MAX(L39,M39))</f>
        <v/>
      </c>
      <c r="X39" s="18" t="str">
        <f aca="false">IF(L39="","",MIN(L39,M39))</f>
        <v/>
      </c>
      <c r="Y39" s="18" t="str">
        <f aca="false">IF(OR(L39="",M39=""),"",IF(U39,CHOOSE(Q39,INDEX(GRP,X39+1,W39+1),INDEX(KO,X39+1,W39+1),INDEX(FIN,X39+1,W39+1)),R39))</f>
        <v/>
      </c>
    </row>
    <row r="40" customFormat="false" ht="15" hidden="false" customHeight="false" outlineLevel="0" collapsed="false">
      <c r="A40" s="9" t="n">
        <v>38</v>
      </c>
      <c r="B40" s="15"/>
      <c r="C40" s="15"/>
      <c r="D40" s="16"/>
      <c r="E40" s="16"/>
      <c r="F40" s="15"/>
      <c r="G40" s="15"/>
      <c r="H40" s="15"/>
      <c r="I40" s="15"/>
      <c r="J40" s="15"/>
      <c r="K40" s="15"/>
      <c r="L40" s="15"/>
      <c r="M40" s="15"/>
      <c r="N40" s="17" t="str">
        <f aca="false">IF(OR(L40="",M40="",J40="",K40=""),"",IF(S40=T40,Y40*V40*IF(F40="Y",2,1),0))</f>
        <v/>
      </c>
      <c r="O40" s="16"/>
      <c r="Q40" s="18" t="n">
        <f aca="false">IF(C40="Group",1,IF(OR(C40="SF",C40="3rd",C40="Final"),3,2))</f>
        <v>2</v>
      </c>
      <c r="R40" s="18" t="n">
        <f aca="false">CHOOSE(Q40,1,1.5,2)</f>
        <v>1.5</v>
      </c>
      <c r="S40" s="18" t="str">
        <f aca="false">IF(J40="","",IF(J40&gt;K40,"H",IF(J40=K40,"D","A")))</f>
        <v/>
      </c>
      <c r="T40" s="18" t="str">
        <f aca="false">IF(L40="","",IF(L40&gt;M40,"H",IF(L40=M40,"D","A")))</f>
        <v/>
      </c>
      <c r="U40" s="19" t="b">
        <f aca="false">AND(L40&lt;&gt;"",J40=L40,K40=M40)</f>
        <v>0</v>
      </c>
      <c r="V40" s="18" t="n">
        <f aca="false">IF(T40="H",G40,IF(T40="D",H40,IF(T40="A",I40,0)))</f>
        <v>0</v>
      </c>
      <c r="W40" s="18" t="str">
        <f aca="false">IF(L40="","",MAX(L40,M40))</f>
        <v/>
      </c>
      <c r="X40" s="18" t="str">
        <f aca="false">IF(L40="","",MIN(L40,M40))</f>
        <v/>
      </c>
      <c r="Y40" s="18" t="str">
        <f aca="false">IF(OR(L40="",M40=""),"",IF(U40,CHOOSE(Q40,INDEX(GRP,X40+1,W40+1),INDEX(KO,X40+1,W40+1),INDEX(FIN,X40+1,W40+1)),R40))</f>
        <v/>
      </c>
    </row>
    <row r="41" customFormat="false" ht="15" hidden="false" customHeight="false" outlineLevel="0" collapsed="false">
      <c r="A41" s="9" t="n">
        <v>39</v>
      </c>
      <c r="B41" s="15"/>
      <c r="C41" s="15"/>
      <c r="D41" s="16"/>
      <c r="E41" s="16"/>
      <c r="F41" s="15"/>
      <c r="G41" s="15"/>
      <c r="H41" s="15"/>
      <c r="I41" s="15"/>
      <c r="J41" s="15"/>
      <c r="K41" s="15"/>
      <c r="L41" s="15"/>
      <c r="M41" s="15"/>
      <c r="N41" s="17" t="str">
        <f aca="false">IF(OR(L41="",M41="",J41="",K41=""),"",IF(S41=T41,Y41*V41*IF(F41="Y",2,1),0))</f>
        <v/>
      </c>
      <c r="O41" s="16"/>
      <c r="Q41" s="18" t="n">
        <f aca="false">IF(C41="Group",1,IF(OR(C41="SF",C41="3rd",C41="Final"),3,2))</f>
        <v>2</v>
      </c>
      <c r="R41" s="18" t="n">
        <f aca="false">CHOOSE(Q41,1,1.5,2)</f>
        <v>1.5</v>
      </c>
      <c r="S41" s="18" t="str">
        <f aca="false">IF(J41="","",IF(J41&gt;K41,"H",IF(J41=K41,"D","A")))</f>
        <v/>
      </c>
      <c r="T41" s="18" t="str">
        <f aca="false">IF(L41="","",IF(L41&gt;M41,"H",IF(L41=M41,"D","A")))</f>
        <v/>
      </c>
      <c r="U41" s="19" t="b">
        <f aca="false">AND(L41&lt;&gt;"",J41=L41,K41=M41)</f>
        <v>0</v>
      </c>
      <c r="V41" s="18" t="n">
        <f aca="false">IF(T41="H",G41,IF(T41="D",H41,IF(T41="A",I41,0)))</f>
        <v>0</v>
      </c>
      <c r="W41" s="18" t="str">
        <f aca="false">IF(L41="","",MAX(L41,M41))</f>
        <v/>
      </c>
      <c r="X41" s="18" t="str">
        <f aca="false">IF(L41="","",MIN(L41,M41))</f>
        <v/>
      </c>
      <c r="Y41" s="18" t="str">
        <f aca="false">IF(OR(L41="",M41=""),"",IF(U41,CHOOSE(Q41,INDEX(GRP,X41+1,W41+1),INDEX(KO,X41+1,W41+1),INDEX(FIN,X41+1,W41+1)),R41))</f>
        <v/>
      </c>
    </row>
    <row r="42" customFormat="false" ht="15" hidden="false" customHeight="false" outlineLevel="0" collapsed="false">
      <c r="A42" s="9" t="n">
        <v>40</v>
      </c>
      <c r="B42" s="15"/>
      <c r="C42" s="15"/>
      <c r="D42" s="16"/>
      <c r="E42" s="16"/>
      <c r="F42" s="15"/>
      <c r="G42" s="15"/>
      <c r="H42" s="15"/>
      <c r="I42" s="15"/>
      <c r="J42" s="15"/>
      <c r="K42" s="15"/>
      <c r="L42" s="15"/>
      <c r="M42" s="15"/>
      <c r="N42" s="17" t="str">
        <f aca="false">IF(OR(L42="",M42="",J42="",K42=""),"",IF(S42=T42,Y42*V42*IF(F42="Y",2,1),0))</f>
        <v/>
      </c>
      <c r="O42" s="16"/>
      <c r="Q42" s="18" t="n">
        <f aca="false">IF(C42="Group",1,IF(OR(C42="SF",C42="3rd",C42="Final"),3,2))</f>
        <v>2</v>
      </c>
      <c r="R42" s="18" t="n">
        <f aca="false">CHOOSE(Q42,1,1.5,2)</f>
        <v>1.5</v>
      </c>
      <c r="S42" s="18" t="str">
        <f aca="false">IF(J42="","",IF(J42&gt;K42,"H",IF(J42=K42,"D","A")))</f>
        <v/>
      </c>
      <c r="T42" s="18" t="str">
        <f aca="false">IF(L42="","",IF(L42&gt;M42,"H",IF(L42=M42,"D","A")))</f>
        <v/>
      </c>
      <c r="U42" s="19" t="b">
        <f aca="false">AND(L42&lt;&gt;"",J42=L42,K42=M42)</f>
        <v>0</v>
      </c>
      <c r="V42" s="18" t="n">
        <f aca="false">IF(T42="H",G42,IF(T42="D",H42,IF(T42="A",I42,0)))</f>
        <v>0</v>
      </c>
      <c r="W42" s="18" t="str">
        <f aca="false">IF(L42="","",MAX(L42,M42))</f>
        <v/>
      </c>
      <c r="X42" s="18" t="str">
        <f aca="false">IF(L42="","",MIN(L42,M42))</f>
        <v/>
      </c>
      <c r="Y42" s="18" t="str">
        <f aca="false">IF(OR(L42="",M42=""),"",IF(U42,CHOOSE(Q42,INDEX(GRP,X42+1,W42+1),INDEX(KO,X42+1,W42+1),INDEX(FIN,X42+1,W42+1)),R42))</f>
        <v/>
      </c>
    </row>
    <row r="43" customFormat="false" ht="15" hidden="false" customHeight="false" outlineLevel="0" collapsed="false">
      <c r="A43" s="9" t="n">
        <v>41</v>
      </c>
      <c r="B43" s="15"/>
      <c r="C43" s="15"/>
      <c r="D43" s="16"/>
      <c r="E43" s="16"/>
      <c r="F43" s="15"/>
      <c r="G43" s="15"/>
      <c r="H43" s="15"/>
      <c r="I43" s="15"/>
      <c r="J43" s="15"/>
      <c r="K43" s="15"/>
      <c r="L43" s="15"/>
      <c r="M43" s="15"/>
      <c r="N43" s="17" t="str">
        <f aca="false">IF(OR(L43="",M43="",J43="",K43=""),"",IF(S43=T43,Y43*V43*IF(F43="Y",2,1),0))</f>
        <v/>
      </c>
      <c r="O43" s="16"/>
      <c r="Q43" s="18" t="n">
        <f aca="false">IF(C43="Group",1,IF(OR(C43="SF",C43="3rd",C43="Final"),3,2))</f>
        <v>2</v>
      </c>
      <c r="R43" s="18" t="n">
        <f aca="false">CHOOSE(Q43,1,1.5,2)</f>
        <v>1.5</v>
      </c>
      <c r="S43" s="18" t="str">
        <f aca="false">IF(J43="","",IF(J43&gt;K43,"H",IF(J43=K43,"D","A")))</f>
        <v/>
      </c>
      <c r="T43" s="18" t="str">
        <f aca="false">IF(L43="","",IF(L43&gt;M43,"H",IF(L43=M43,"D","A")))</f>
        <v/>
      </c>
      <c r="U43" s="19" t="b">
        <f aca="false">AND(L43&lt;&gt;"",J43=L43,K43=M43)</f>
        <v>0</v>
      </c>
      <c r="V43" s="18" t="n">
        <f aca="false">IF(T43="H",G43,IF(T43="D",H43,IF(T43="A",I43,0)))</f>
        <v>0</v>
      </c>
      <c r="W43" s="18" t="str">
        <f aca="false">IF(L43="","",MAX(L43,M43))</f>
        <v/>
      </c>
      <c r="X43" s="18" t="str">
        <f aca="false">IF(L43="","",MIN(L43,M43))</f>
        <v/>
      </c>
      <c r="Y43" s="18" t="str">
        <f aca="false">IF(OR(L43="",M43=""),"",IF(U43,CHOOSE(Q43,INDEX(GRP,X43+1,W43+1),INDEX(KO,X43+1,W43+1),INDEX(FIN,X43+1,W43+1)),R43))</f>
        <v/>
      </c>
    </row>
    <row r="44" customFormat="false" ht="15" hidden="false" customHeight="false" outlineLevel="0" collapsed="false">
      <c r="A44" s="9" t="n">
        <v>42</v>
      </c>
      <c r="B44" s="15"/>
      <c r="C44" s="15"/>
      <c r="D44" s="16"/>
      <c r="E44" s="16"/>
      <c r="F44" s="15"/>
      <c r="G44" s="15"/>
      <c r="H44" s="15"/>
      <c r="I44" s="15"/>
      <c r="J44" s="15"/>
      <c r="K44" s="15"/>
      <c r="L44" s="15"/>
      <c r="M44" s="15"/>
      <c r="N44" s="17" t="str">
        <f aca="false">IF(OR(L44="",M44="",J44="",K44=""),"",IF(S44=T44,Y44*V44*IF(F44="Y",2,1),0))</f>
        <v/>
      </c>
      <c r="O44" s="16"/>
      <c r="Q44" s="18" t="n">
        <f aca="false">IF(C44="Group",1,IF(OR(C44="SF",C44="3rd",C44="Final"),3,2))</f>
        <v>2</v>
      </c>
      <c r="R44" s="18" t="n">
        <f aca="false">CHOOSE(Q44,1,1.5,2)</f>
        <v>1.5</v>
      </c>
      <c r="S44" s="18" t="str">
        <f aca="false">IF(J44="","",IF(J44&gt;K44,"H",IF(J44=K44,"D","A")))</f>
        <v/>
      </c>
      <c r="T44" s="18" t="str">
        <f aca="false">IF(L44="","",IF(L44&gt;M44,"H",IF(L44=M44,"D","A")))</f>
        <v/>
      </c>
      <c r="U44" s="19" t="b">
        <f aca="false">AND(L44&lt;&gt;"",J44=L44,K44=M44)</f>
        <v>0</v>
      </c>
      <c r="V44" s="18" t="n">
        <f aca="false">IF(T44="H",G44,IF(T44="D",H44,IF(T44="A",I44,0)))</f>
        <v>0</v>
      </c>
      <c r="W44" s="18" t="str">
        <f aca="false">IF(L44="","",MAX(L44,M44))</f>
        <v/>
      </c>
      <c r="X44" s="18" t="str">
        <f aca="false">IF(L44="","",MIN(L44,M44))</f>
        <v/>
      </c>
      <c r="Y44" s="18" t="str">
        <f aca="false">IF(OR(L44="",M44=""),"",IF(U44,CHOOSE(Q44,INDEX(GRP,X44+1,W44+1),INDEX(KO,X44+1,W44+1),INDEX(FIN,X44+1,W44+1)),R44))</f>
        <v/>
      </c>
    </row>
    <row r="45" customFormat="false" ht="15" hidden="false" customHeight="false" outlineLevel="0" collapsed="false">
      <c r="A45" s="9" t="n">
        <v>43</v>
      </c>
      <c r="B45" s="15"/>
      <c r="C45" s="15"/>
      <c r="D45" s="16"/>
      <c r="E45" s="16"/>
      <c r="F45" s="15"/>
      <c r="G45" s="15"/>
      <c r="H45" s="15"/>
      <c r="I45" s="15"/>
      <c r="J45" s="15"/>
      <c r="K45" s="15"/>
      <c r="L45" s="15"/>
      <c r="M45" s="15"/>
      <c r="N45" s="17" t="str">
        <f aca="false">IF(OR(L45="",M45="",J45="",K45=""),"",IF(S45=T45,Y45*V45*IF(F45="Y",2,1),0))</f>
        <v/>
      </c>
      <c r="O45" s="16"/>
      <c r="Q45" s="18" t="n">
        <f aca="false">IF(C45="Group",1,IF(OR(C45="SF",C45="3rd",C45="Final"),3,2))</f>
        <v>2</v>
      </c>
      <c r="R45" s="18" t="n">
        <f aca="false">CHOOSE(Q45,1,1.5,2)</f>
        <v>1.5</v>
      </c>
      <c r="S45" s="18" t="str">
        <f aca="false">IF(J45="","",IF(J45&gt;K45,"H",IF(J45=K45,"D","A")))</f>
        <v/>
      </c>
      <c r="T45" s="18" t="str">
        <f aca="false">IF(L45="","",IF(L45&gt;M45,"H",IF(L45=M45,"D","A")))</f>
        <v/>
      </c>
      <c r="U45" s="19" t="b">
        <f aca="false">AND(L45&lt;&gt;"",J45=L45,K45=M45)</f>
        <v>0</v>
      </c>
      <c r="V45" s="18" t="n">
        <f aca="false">IF(T45="H",G45,IF(T45="D",H45,IF(T45="A",I45,0)))</f>
        <v>0</v>
      </c>
      <c r="W45" s="18" t="str">
        <f aca="false">IF(L45="","",MAX(L45,M45))</f>
        <v/>
      </c>
      <c r="X45" s="18" t="str">
        <f aca="false">IF(L45="","",MIN(L45,M45))</f>
        <v/>
      </c>
      <c r="Y45" s="18" t="str">
        <f aca="false">IF(OR(L45="",M45=""),"",IF(U45,CHOOSE(Q45,INDEX(GRP,X45+1,W45+1),INDEX(KO,X45+1,W45+1),INDEX(FIN,X45+1,W45+1)),R45))</f>
        <v/>
      </c>
    </row>
    <row r="46" customFormat="false" ht="15" hidden="false" customHeight="false" outlineLevel="0" collapsed="false">
      <c r="A46" s="9" t="n">
        <v>44</v>
      </c>
      <c r="B46" s="15"/>
      <c r="C46" s="15"/>
      <c r="D46" s="16"/>
      <c r="E46" s="16"/>
      <c r="F46" s="15"/>
      <c r="G46" s="15"/>
      <c r="H46" s="15"/>
      <c r="I46" s="15"/>
      <c r="J46" s="15"/>
      <c r="K46" s="15"/>
      <c r="L46" s="15"/>
      <c r="M46" s="15"/>
      <c r="N46" s="17" t="str">
        <f aca="false">IF(OR(L46="",M46="",J46="",K46=""),"",IF(S46=T46,Y46*V46*IF(F46="Y",2,1),0))</f>
        <v/>
      </c>
      <c r="O46" s="16"/>
      <c r="Q46" s="18" t="n">
        <f aca="false">IF(C46="Group",1,IF(OR(C46="SF",C46="3rd",C46="Final"),3,2))</f>
        <v>2</v>
      </c>
      <c r="R46" s="18" t="n">
        <f aca="false">CHOOSE(Q46,1,1.5,2)</f>
        <v>1.5</v>
      </c>
      <c r="S46" s="18" t="str">
        <f aca="false">IF(J46="","",IF(J46&gt;K46,"H",IF(J46=K46,"D","A")))</f>
        <v/>
      </c>
      <c r="T46" s="18" t="str">
        <f aca="false">IF(L46="","",IF(L46&gt;M46,"H",IF(L46=M46,"D","A")))</f>
        <v/>
      </c>
      <c r="U46" s="19" t="b">
        <f aca="false">AND(L46&lt;&gt;"",J46=L46,K46=M46)</f>
        <v>0</v>
      </c>
      <c r="V46" s="18" t="n">
        <f aca="false">IF(T46="H",G46,IF(T46="D",H46,IF(T46="A",I46,0)))</f>
        <v>0</v>
      </c>
      <c r="W46" s="18" t="str">
        <f aca="false">IF(L46="","",MAX(L46,M46))</f>
        <v/>
      </c>
      <c r="X46" s="18" t="str">
        <f aca="false">IF(L46="","",MIN(L46,M46))</f>
        <v/>
      </c>
      <c r="Y46" s="18" t="str">
        <f aca="false">IF(OR(L46="",M46=""),"",IF(U46,CHOOSE(Q46,INDEX(GRP,X46+1,W46+1),INDEX(KO,X46+1,W46+1),INDEX(FIN,X46+1,W46+1)),R46))</f>
        <v/>
      </c>
    </row>
    <row r="47" customFormat="false" ht="15" hidden="false" customHeight="false" outlineLevel="0" collapsed="false">
      <c r="A47" s="9" t="n">
        <v>45</v>
      </c>
      <c r="B47" s="15"/>
      <c r="C47" s="15"/>
      <c r="D47" s="16"/>
      <c r="E47" s="16"/>
      <c r="F47" s="15"/>
      <c r="G47" s="15"/>
      <c r="H47" s="15"/>
      <c r="I47" s="15"/>
      <c r="J47" s="15"/>
      <c r="K47" s="15"/>
      <c r="L47" s="15"/>
      <c r="M47" s="15"/>
      <c r="N47" s="17" t="str">
        <f aca="false">IF(OR(L47="",M47="",J47="",K47=""),"",IF(S47=T47,Y47*V47*IF(F47="Y",2,1),0))</f>
        <v/>
      </c>
      <c r="O47" s="16"/>
      <c r="Q47" s="18" t="n">
        <f aca="false">IF(C47="Group",1,IF(OR(C47="SF",C47="3rd",C47="Final"),3,2))</f>
        <v>2</v>
      </c>
      <c r="R47" s="18" t="n">
        <f aca="false">CHOOSE(Q47,1,1.5,2)</f>
        <v>1.5</v>
      </c>
      <c r="S47" s="18" t="str">
        <f aca="false">IF(J47="","",IF(J47&gt;K47,"H",IF(J47=K47,"D","A")))</f>
        <v/>
      </c>
      <c r="T47" s="18" t="str">
        <f aca="false">IF(L47="","",IF(L47&gt;M47,"H",IF(L47=M47,"D","A")))</f>
        <v/>
      </c>
      <c r="U47" s="19" t="b">
        <f aca="false">AND(L47&lt;&gt;"",J47=L47,K47=M47)</f>
        <v>0</v>
      </c>
      <c r="V47" s="18" t="n">
        <f aca="false">IF(T47="H",G47,IF(T47="D",H47,IF(T47="A",I47,0)))</f>
        <v>0</v>
      </c>
      <c r="W47" s="18" t="str">
        <f aca="false">IF(L47="","",MAX(L47,M47))</f>
        <v/>
      </c>
      <c r="X47" s="18" t="str">
        <f aca="false">IF(L47="","",MIN(L47,M47))</f>
        <v/>
      </c>
      <c r="Y47" s="18" t="str">
        <f aca="false">IF(OR(L47="",M47=""),"",IF(U47,CHOOSE(Q47,INDEX(GRP,X47+1,W47+1),INDEX(KO,X47+1,W47+1),INDEX(FIN,X47+1,W47+1)),R47))</f>
        <v/>
      </c>
    </row>
    <row r="48" customFormat="false" ht="15" hidden="false" customHeight="false" outlineLevel="0" collapsed="false">
      <c r="A48" s="9" t="n">
        <v>46</v>
      </c>
      <c r="B48" s="15"/>
      <c r="C48" s="15"/>
      <c r="D48" s="16"/>
      <c r="E48" s="16"/>
      <c r="F48" s="15"/>
      <c r="G48" s="15"/>
      <c r="H48" s="15"/>
      <c r="I48" s="15"/>
      <c r="J48" s="15"/>
      <c r="K48" s="15"/>
      <c r="L48" s="15"/>
      <c r="M48" s="15"/>
      <c r="N48" s="17" t="str">
        <f aca="false">IF(OR(L48="",M48="",J48="",K48=""),"",IF(S48=T48,Y48*V48*IF(F48="Y",2,1),0))</f>
        <v/>
      </c>
      <c r="O48" s="16"/>
      <c r="Q48" s="18" t="n">
        <f aca="false">IF(C48="Group",1,IF(OR(C48="SF",C48="3rd",C48="Final"),3,2))</f>
        <v>2</v>
      </c>
      <c r="R48" s="18" t="n">
        <f aca="false">CHOOSE(Q48,1,1.5,2)</f>
        <v>1.5</v>
      </c>
      <c r="S48" s="18" t="str">
        <f aca="false">IF(J48="","",IF(J48&gt;K48,"H",IF(J48=K48,"D","A")))</f>
        <v/>
      </c>
      <c r="T48" s="18" t="str">
        <f aca="false">IF(L48="","",IF(L48&gt;M48,"H",IF(L48=M48,"D","A")))</f>
        <v/>
      </c>
      <c r="U48" s="19" t="b">
        <f aca="false">AND(L48&lt;&gt;"",J48=L48,K48=M48)</f>
        <v>0</v>
      </c>
      <c r="V48" s="18" t="n">
        <f aca="false">IF(T48="H",G48,IF(T48="D",H48,IF(T48="A",I48,0)))</f>
        <v>0</v>
      </c>
      <c r="W48" s="18" t="str">
        <f aca="false">IF(L48="","",MAX(L48,M48))</f>
        <v/>
      </c>
      <c r="X48" s="18" t="str">
        <f aca="false">IF(L48="","",MIN(L48,M48))</f>
        <v/>
      </c>
      <c r="Y48" s="18" t="str">
        <f aca="false">IF(OR(L48="",M48=""),"",IF(U48,CHOOSE(Q48,INDEX(GRP,X48+1,W48+1),INDEX(KO,X48+1,W48+1),INDEX(FIN,X48+1,W48+1)),R48))</f>
        <v/>
      </c>
    </row>
    <row r="49" customFormat="false" ht="15" hidden="false" customHeight="false" outlineLevel="0" collapsed="false">
      <c r="A49" s="9" t="n">
        <v>47</v>
      </c>
      <c r="B49" s="15"/>
      <c r="C49" s="15"/>
      <c r="D49" s="16"/>
      <c r="E49" s="16"/>
      <c r="F49" s="15"/>
      <c r="G49" s="15"/>
      <c r="H49" s="15"/>
      <c r="I49" s="15"/>
      <c r="J49" s="15"/>
      <c r="K49" s="15"/>
      <c r="L49" s="15"/>
      <c r="M49" s="15"/>
      <c r="N49" s="17" t="str">
        <f aca="false">IF(OR(L49="",M49="",J49="",K49=""),"",IF(S49=T49,Y49*V49*IF(F49="Y",2,1),0))</f>
        <v/>
      </c>
      <c r="O49" s="16"/>
      <c r="Q49" s="18" t="n">
        <f aca="false">IF(C49="Group",1,IF(OR(C49="SF",C49="3rd",C49="Final"),3,2))</f>
        <v>2</v>
      </c>
      <c r="R49" s="18" t="n">
        <f aca="false">CHOOSE(Q49,1,1.5,2)</f>
        <v>1.5</v>
      </c>
      <c r="S49" s="18" t="str">
        <f aca="false">IF(J49="","",IF(J49&gt;K49,"H",IF(J49=K49,"D","A")))</f>
        <v/>
      </c>
      <c r="T49" s="18" t="str">
        <f aca="false">IF(L49="","",IF(L49&gt;M49,"H",IF(L49=M49,"D","A")))</f>
        <v/>
      </c>
      <c r="U49" s="19" t="b">
        <f aca="false">AND(L49&lt;&gt;"",J49=L49,K49=M49)</f>
        <v>0</v>
      </c>
      <c r="V49" s="18" t="n">
        <f aca="false">IF(T49="H",G49,IF(T49="D",H49,IF(T49="A",I49,0)))</f>
        <v>0</v>
      </c>
      <c r="W49" s="18" t="str">
        <f aca="false">IF(L49="","",MAX(L49,M49))</f>
        <v/>
      </c>
      <c r="X49" s="18" t="str">
        <f aca="false">IF(L49="","",MIN(L49,M49))</f>
        <v/>
      </c>
      <c r="Y49" s="18" t="str">
        <f aca="false">IF(OR(L49="",M49=""),"",IF(U49,CHOOSE(Q49,INDEX(GRP,X49+1,W49+1),INDEX(KO,X49+1,W49+1),INDEX(FIN,X49+1,W49+1)),R49))</f>
        <v/>
      </c>
    </row>
    <row r="50" customFormat="false" ht="15" hidden="false" customHeight="false" outlineLevel="0" collapsed="false">
      <c r="A50" s="9" t="n">
        <v>48</v>
      </c>
      <c r="B50" s="15"/>
      <c r="C50" s="15"/>
      <c r="D50" s="16"/>
      <c r="E50" s="16"/>
      <c r="F50" s="15"/>
      <c r="G50" s="15"/>
      <c r="H50" s="15"/>
      <c r="I50" s="15"/>
      <c r="J50" s="15"/>
      <c r="K50" s="15"/>
      <c r="L50" s="15"/>
      <c r="M50" s="15"/>
      <c r="N50" s="17" t="str">
        <f aca="false">IF(OR(L50="",M50="",J50="",K50=""),"",IF(S50=T50,Y50*V50*IF(F50="Y",2,1),0))</f>
        <v/>
      </c>
      <c r="O50" s="16"/>
      <c r="Q50" s="18" t="n">
        <f aca="false">IF(C50="Group",1,IF(OR(C50="SF",C50="3rd",C50="Final"),3,2))</f>
        <v>2</v>
      </c>
      <c r="R50" s="18" t="n">
        <f aca="false">CHOOSE(Q50,1,1.5,2)</f>
        <v>1.5</v>
      </c>
      <c r="S50" s="18" t="str">
        <f aca="false">IF(J50="","",IF(J50&gt;K50,"H",IF(J50=K50,"D","A")))</f>
        <v/>
      </c>
      <c r="T50" s="18" t="str">
        <f aca="false">IF(L50="","",IF(L50&gt;M50,"H",IF(L50=M50,"D","A")))</f>
        <v/>
      </c>
      <c r="U50" s="19" t="b">
        <f aca="false">AND(L50&lt;&gt;"",J50=L50,K50=M50)</f>
        <v>0</v>
      </c>
      <c r="V50" s="18" t="n">
        <f aca="false">IF(T50="H",G50,IF(T50="D",H50,IF(T50="A",I50,0)))</f>
        <v>0</v>
      </c>
      <c r="W50" s="18" t="str">
        <f aca="false">IF(L50="","",MAX(L50,M50))</f>
        <v/>
      </c>
      <c r="X50" s="18" t="str">
        <f aca="false">IF(L50="","",MIN(L50,M50))</f>
        <v/>
      </c>
      <c r="Y50" s="18" t="str">
        <f aca="false">IF(OR(L50="",M50=""),"",IF(U50,CHOOSE(Q50,INDEX(GRP,X50+1,W50+1),INDEX(KO,X50+1,W50+1),INDEX(FIN,X50+1,W50+1)),R50))</f>
        <v/>
      </c>
    </row>
    <row r="51" customFormat="false" ht="15" hidden="false" customHeight="false" outlineLevel="0" collapsed="false">
      <c r="A51" s="9" t="n">
        <v>49</v>
      </c>
      <c r="B51" s="15"/>
      <c r="C51" s="15"/>
      <c r="D51" s="16"/>
      <c r="E51" s="16"/>
      <c r="F51" s="15"/>
      <c r="G51" s="15"/>
      <c r="H51" s="15"/>
      <c r="I51" s="15"/>
      <c r="J51" s="15"/>
      <c r="K51" s="15"/>
      <c r="L51" s="15"/>
      <c r="M51" s="15"/>
      <c r="N51" s="17" t="str">
        <f aca="false">IF(OR(L51="",M51="",J51="",K51=""),"",IF(S51=T51,Y51*V51*IF(F51="Y",2,1),0))</f>
        <v/>
      </c>
      <c r="O51" s="16"/>
      <c r="Q51" s="18" t="n">
        <f aca="false">IF(C51="Group",1,IF(OR(C51="SF",C51="3rd",C51="Final"),3,2))</f>
        <v>2</v>
      </c>
      <c r="R51" s="18" t="n">
        <f aca="false">CHOOSE(Q51,1,1.5,2)</f>
        <v>1.5</v>
      </c>
      <c r="S51" s="18" t="str">
        <f aca="false">IF(J51="","",IF(J51&gt;K51,"H",IF(J51=K51,"D","A")))</f>
        <v/>
      </c>
      <c r="T51" s="18" t="str">
        <f aca="false">IF(L51="","",IF(L51&gt;M51,"H",IF(L51=M51,"D","A")))</f>
        <v/>
      </c>
      <c r="U51" s="19" t="b">
        <f aca="false">AND(L51&lt;&gt;"",J51=L51,K51=M51)</f>
        <v>0</v>
      </c>
      <c r="V51" s="18" t="n">
        <f aca="false">IF(T51="H",G51,IF(T51="D",H51,IF(T51="A",I51,0)))</f>
        <v>0</v>
      </c>
      <c r="W51" s="18" t="str">
        <f aca="false">IF(L51="","",MAX(L51,M51))</f>
        <v/>
      </c>
      <c r="X51" s="18" t="str">
        <f aca="false">IF(L51="","",MIN(L51,M51))</f>
        <v/>
      </c>
      <c r="Y51" s="18" t="str">
        <f aca="false">IF(OR(L51="",M51=""),"",IF(U51,CHOOSE(Q51,INDEX(GRP,X51+1,W51+1),INDEX(KO,X51+1,W51+1),INDEX(FIN,X51+1,W51+1)),R51))</f>
        <v/>
      </c>
    </row>
    <row r="52" customFormat="false" ht="15" hidden="false" customHeight="false" outlineLevel="0" collapsed="false">
      <c r="A52" s="9" t="n">
        <v>50</v>
      </c>
      <c r="B52" s="15"/>
      <c r="C52" s="15"/>
      <c r="D52" s="16"/>
      <c r="E52" s="16"/>
      <c r="F52" s="15"/>
      <c r="G52" s="15"/>
      <c r="H52" s="15"/>
      <c r="I52" s="15"/>
      <c r="J52" s="15"/>
      <c r="K52" s="15"/>
      <c r="L52" s="15"/>
      <c r="M52" s="15"/>
      <c r="N52" s="17" t="str">
        <f aca="false">IF(OR(L52="",M52="",J52="",K52=""),"",IF(S52=T52,Y52*V52*IF(F52="Y",2,1),0))</f>
        <v/>
      </c>
      <c r="O52" s="16"/>
      <c r="Q52" s="18" t="n">
        <f aca="false">IF(C52="Group",1,IF(OR(C52="SF",C52="3rd",C52="Final"),3,2))</f>
        <v>2</v>
      </c>
      <c r="R52" s="18" t="n">
        <f aca="false">CHOOSE(Q52,1,1.5,2)</f>
        <v>1.5</v>
      </c>
      <c r="S52" s="18" t="str">
        <f aca="false">IF(J52="","",IF(J52&gt;K52,"H",IF(J52=K52,"D","A")))</f>
        <v/>
      </c>
      <c r="T52" s="18" t="str">
        <f aca="false">IF(L52="","",IF(L52&gt;M52,"H",IF(L52=M52,"D","A")))</f>
        <v/>
      </c>
      <c r="U52" s="19" t="b">
        <f aca="false">AND(L52&lt;&gt;"",J52=L52,K52=M52)</f>
        <v>0</v>
      </c>
      <c r="V52" s="18" t="n">
        <f aca="false">IF(T52="H",G52,IF(T52="D",H52,IF(T52="A",I52,0)))</f>
        <v>0</v>
      </c>
      <c r="W52" s="18" t="str">
        <f aca="false">IF(L52="","",MAX(L52,M52))</f>
        <v/>
      </c>
      <c r="X52" s="18" t="str">
        <f aca="false">IF(L52="","",MIN(L52,M52))</f>
        <v/>
      </c>
      <c r="Y52" s="18" t="str">
        <f aca="false">IF(OR(L52="",M52=""),"",IF(U52,CHOOSE(Q52,INDEX(GRP,X52+1,W52+1),INDEX(KO,X52+1,W52+1),INDEX(FIN,X52+1,W52+1)),R52))</f>
        <v/>
      </c>
    </row>
    <row r="53" customFormat="false" ht="15" hidden="false" customHeight="false" outlineLevel="0" collapsed="false">
      <c r="A53" s="9" t="n">
        <v>51</v>
      </c>
      <c r="B53" s="15"/>
      <c r="C53" s="15"/>
      <c r="D53" s="16"/>
      <c r="E53" s="16"/>
      <c r="F53" s="15"/>
      <c r="G53" s="15"/>
      <c r="H53" s="15"/>
      <c r="I53" s="15"/>
      <c r="J53" s="15"/>
      <c r="K53" s="15"/>
      <c r="L53" s="15"/>
      <c r="M53" s="15"/>
      <c r="N53" s="17" t="str">
        <f aca="false">IF(OR(L53="",M53="",J53="",K53=""),"",IF(S53=T53,Y53*V53*IF(F53="Y",2,1),0))</f>
        <v/>
      </c>
      <c r="O53" s="16"/>
      <c r="Q53" s="18" t="n">
        <f aca="false">IF(C53="Group",1,IF(OR(C53="SF",C53="3rd",C53="Final"),3,2))</f>
        <v>2</v>
      </c>
      <c r="R53" s="18" t="n">
        <f aca="false">CHOOSE(Q53,1,1.5,2)</f>
        <v>1.5</v>
      </c>
      <c r="S53" s="18" t="str">
        <f aca="false">IF(J53="","",IF(J53&gt;K53,"H",IF(J53=K53,"D","A")))</f>
        <v/>
      </c>
      <c r="T53" s="18" t="str">
        <f aca="false">IF(L53="","",IF(L53&gt;M53,"H",IF(L53=M53,"D","A")))</f>
        <v/>
      </c>
      <c r="U53" s="19" t="b">
        <f aca="false">AND(L53&lt;&gt;"",J53=L53,K53=M53)</f>
        <v>0</v>
      </c>
      <c r="V53" s="18" t="n">
        <f aca="false">IF(T53="H",G53,IF(T53="D",H53,IF(T53="A",I53,0)))</f>
        <v>0</v>
      </c>
      <c r="W53" s="18" t="str">
        <f aca="false">IF(L53="","",MAX(L53,M53))</f>
        <v/>
      </c>
      <c r="X53" s="18" t="str">
        <f aca="false">IF(L53="","",MIN(L53,M53))</f>
        <v/>
      </c>
      <c r="Y53" s="18" t="str">
        <f aca="false">IF(OR(L53="",M53=""),"",IF(U53,CHOOSE(Q53,INDEX(GRP,X53+1,W53+1),INDEX(KO,X53+1,W53+1),INDEX(FIN,X53+1,W53+1)),R53))</f>
        <v/>
      </c>
    </row>
    <row r="54" customFormat="false" ht="15" hidden="false" customHeight="false" outlineLevel="0" collapsed="false">
      <c r="A54" s="9" t="n">
        <v>52</v>
      </c>
      <c r="B54" s="15"/>
      <c r="C54" s="15"/>
      <c r="D54" s="16"/>
      <c r="E54" s="16"/>
      <c r="F54" s="15"/>
      <c r="G54" s="15"/>
      <c r="H54" s="15"/>
      <c r="I54" s="15"/>
      <c r="J54" s="15"/>
      <c r="K54" s="15"/>
      <c r="L54" s="15"/>
      <c r="M54" s="15"/>
      <c r="N54" s="17" t="str">
        <f aca="false">IF(OR(L54="",M54="",J54="",K54=""),"",IF(S54=T54,Y54*V54*IF(F54="Y",2,1),0))</f>
        <v/>
      </c>
      <c r="O54" s="16"/>
      <c r="Q54" s="18" t="n">
        <f aca="false">IF(C54="Group",1,IF(OR(C54="SF",C54="3rd",C54="Final"),3,2))</f>
        <v>2</v>
      </c>
      <c r="R54" s="18" t="n">
        <f aca="false">CHOOSE(Q54,1,1.5,2)</f>
        <v>1.5</v>
      </c>
      <c r="S54" s="18" t="str">
        <f aca="false">IF(J54="","",IF(J54&gt;K54,"H",IF(J54=K54,"D","A")))</f>
        <v/>
      </c>
      <c r="T54" s="18" t="str">
        <f aca="false">IF(L54="","",IF(L54&gt;M54,"H",IF(L54=M54,"D","A")))</f>
        <v/>
      </c>
      <c r="U54" s="19" t="b">
        <f aca="false">AND(L54&lt;&gt;"",J54=L54,K54=M54)</f>
        <v>0</v>
      </c>
      <c r="V54" s="18" t="n">
        <f aca="false">IF(T54="H",G54,IF(T54="D",H54,IF(T54="A",I54,0)))</f>
        <v>0</v>
      </c>
      <c r="W54" s="18" t="str">
        <f aca="false">IF(L54="","",MAX(L54,M54))</f>
        <v/>
      </c>
      <c r="X54" s="18" t="str">
        <f aca="false">IF(L54="","",MIN(L54,M54))</f>
        <v/>
      </c>
      <c r="Y54" s="18" t="str">
        <f aca="false">IF(OR(L54="",M54=""),"",IF(U54,CHOOSE(Q54,INDEX(GRP,X54+1,W54+1),INDEX(KO,X54+1,W54+1),INDEX(FIN,X54+1,W54+1)),R54))</f>
        <v/>
      </c>
    </row>
    <row r="55" customFormat="false" ht="15" hidden="false" customHeight="false" outlineLevel="0" collapsed="false">
      <c r="A55" s="9" t="n">
        <v>53</v>
      </c>
      <c r="B55" s="15"/>
      <c r="C55" s="15"/>
      <c r="D55" s="16"/>
      <c r="E55" s="16"/>
      <c r="F55" s="15"/>
      <c r="G55" s="15"/>
      <c r="H55" s="15"/>
      <c r="I55" s="15"/>
      <c r="J55" s="15"/>
      <c r="K55" s="15"/>
      <c r="L55" s="15"/>
      <c r="M55" s="15"/>
      <c r="N55" s="17" t="str">
        <f aca="false">IF(OR(L55="",M55="",J55="",K55=""),"",IF(S55=T55,Y55*V55*IF(F55="Y",2,1),0))</f>
        <v/>
      </c>
      <c r="O55" s="16"/>
      <c r="Q55" s="18" t="n">
        <f aca="false">IF(C55="Group",1,IF(OR(C55="SF",C55="3rd",C55="Final"),3,2))</f>
        <v>2</v>
      </c>
      <c r="R55" s="18" t="n">
        <f aca="false">CHOOSE(Q55,1,1.5,2)</f>
        <v>1.5</v>
      </c>
      <c r="S55" s="18" t="str">
        <f aca="false">IF(J55="","",IF(J55&gt;K55,"H",IF(J55=K55,"D","A")))</f>
        <v/>
      </c>
      <c r="T55" s="18" t="str">
        <f aca="false">IF(L55="","",IF(L55&gt;M55,"H",IF(L55=M55,"D","A")))</f>
        <v/>
      </c>
      <c r="U55" s="19" t="b">
        <f aca="false">AND(L55&lt;&gt;"",J55=L55,K55=M55)</f>
        <v>0</v>
      </c>
      <c r="V55" s="18" t="n">
        <f aca="false">IF(T55="H",G55,IF(T55="D",H55,IF(T55="A",I55,0)))</f>
        <v>0</v>
      </c>
      <c r="W55" s="18" t="str">
        <f aca="false">IF(L55="","",MAX(L55,M55))</f>
        <v/>
      </c>
      <c r="X55" s="18" t="str">
        <f aca="false">IF(L55="","",MIN(L55,M55))</f>
        <v/>
      </c>
      <c r="Y55" s="18" t="str">
        <f aca="false">IF(OR(L55="",M55=""),"",IF(U55,CHOOSE(Q55,INDEX(GRP,X55+1,W55+1),INDEX(KO,X55+1,W55+1),INDEX(FIN,X55+1,W55+1)),R55))</f>
        <v/>
      </c>
    </row>
    <row r="56" customFormat="false" ht="15" hidden="false" customHeight="false" outlineLevel="0" collapsed="false">
      <c r="A56" s="9" t="n">
        <v>54</v>
      </c>
      <c r="B56" s="15"/>
      <c r="C56" s="15"/>
      <c r="D56" s="16"/>
      <c r="E56" s="16"/>
      <c r="F56" s="15"/>
      <c r="G56" s="15"/>
      <c r="H56" s="15"/>
      <c r="I56" s="15"/>
      <c r="J56" s="15"/>
      <c r="K56" s="15"/>
      <c r="L56" s="15"/>
      <c r="M56" s="15"/>
      <c r="N56" s="17" t="str">
        <f aca="false">IF(OR(L56="",M56="",J56="",K56=""),"",IF(S56=T56,Y56*V56*IF(F56="Y",2,1),0))</f>
        <v/>
      </c>
      <c r="O56" s="16"/>
      <c r="Q56" s="18" t="n">
        <f aca="false">IF(C56="Group",1,IF(OR(C56="SF",C56="3rd",C56="Final"),3,2))</f>
        <v>2</v>
      </c>
      <c r="R56" s="18" t="n">
        <f aca="false">CHOOSE(Q56,1,1.5,2)</f>
        <v>1.5</v>
      </c>
      <c r="S56" s="18" t="str">
        <f aca="false">IF(J56="","",IF(J56&gt;K56,"H",IF(J56=K56,"D","A")))</f>
        <v/>
      </c>
      <c r="T56" s="18" t="str">
        <f aca="false">IF(L56="","",IF(L56&gt;M56,"H",IF(L56=M56,"D","A")))</f>
        <v/>
      </c>
      <c r="U56" s="19" t="b">
        <f aca="false">AND(L56&lt;&gt;"",J56=L56,K56=M56)</f>
        <v>0</v>
      </c>
      <c r="V56" s="18" t="n">
        <f aca="false">IF(T56="H",G56,IF(T56="D",H56,IF(T56="A",I56,0)))</f>
        <v>0</v>
      </c>
      <c r="W56" s="18" t="str">
        <f aca="false">IF(L56="","",MAX(L56,M56))</f>
        <v/>
      </c>
      <c r="X56" s="18" t="str">
        <f aca="false">IF(L56="","",MIN(L56,M56))</f>
        <v/>
      </c>
      <c r="Y56" s="18" t="str">
        <f aca="false">IF(OR(L56="",M56=""),"",IF(U56,CHOOSE(Q56,INDEX(GRP,X56+1,W56+1),INDEX(KO,X56+1,W56+1),INDEX(FIN,X56+1,W56+1)),R56))</f>
        <v/>
      </c>
    </row>
    <row r="57" customFormat="false" ht="15" hidden="false" customHeight="false" outlineLevel="0" collapsed="false">
      <c r="A57" s="9" t="n">
        <v>55</v>
      </c>
      <c r="B57" s="15"/>
      <c r="C57" s="15"/>
      <c r="D57" s="16"/>
      <c r="E57" s="16"/>
      <c r="F57" s="15"/>
      <c r="G57" s="15"/>
      <c r="H57" s="15"/>
      <c r="I57" s="15"/>
      <c r="J57" s="15"/>
      <c r="K57" s="15"/>
      <c r="L57" s="15"/>
      <c r="M57" s="15"/>
      <c r="N57" s="17" t="str">
        <f aca="false">IF(OR(L57="",M57="",J57="",K57=""),"",IF(S57=T57,Y57*V57*IF(F57="Y",2,1),0))</f>
        <v/>
      </c>
      <c r="O57" s="16"/>
      <c r="Q57" s="18" t="n">
        <f aca="false">IF(C57="Group",1,IF(OR(C57="SF",C57="3rd",C57="Final"),3,2))</f>
        <v>2</v>
      </c>
      <c r="R57" s="18" t="n">
        <f aca="false">CHOOSE(Q57,1,1.5,2)</f>
        <v>1.5</v>
      </c>
      <c r="S57" s="18" t="str">
        <f aca="false">IF(J57="","",IF(J57&gt;K57,"H",IF(J57=K57,"D","A")))</f>
        <v/>
      </c>
      <c r="T57" s="18" t="str">
        <f aca="false">IF(L57="","",IF(L57&gt;M57,"H",IF(L57=M57,"D","A")))</f>
        <v/>
      </c>
      <c r="U57" s="19" t="b">
        <f aca="false">AND(L57&lt;&gt;"",J57=L57,K57=M57)</f>
        <v>0</v>
      </c>
      <c r="V57" s="18" t="n">
        <f aca="false">IF(T57="H",G57,IF(T57="D",H57,IF(T57="A",I57,0)))</f>
        <v>0</v>
      </c>
      <c r="W57" s="18" t="str">
        <f aca="false">IF(L57="","",MAX(L57,M57))</f>
        <v/>
      </c>
      <c r="X57" s="18" t="str">
        <f aca="false">IF(L57="","",MIN(L57,M57))</f>
        <v/>
      </c>
      <c r="Y57" s="18" t="str">
        <f aca="false">IF(OR(L57="",M57=""),"",IF(U57,CHOOSE(Q57,INDEX(GRP,X57+1,W57+1),INDEX(KO,X57+1,W57+1),INDEX(FIN,X57+1,W57+1)),R57))</f>
        <v/>
      </c>
    </row>
    <row r="58" customFormat="false" ht="15" hidden="false" customHeight="false" outlineLevel="0" collapsed="false">
      <c r="A58" s="9" t="n">
        <v>56</v>
      </c>
      <c r="B58" s="15"/>
      <c r="C58" s="15"/>
      <c r="D58" s="16"/>
      <c r="E58" s="16"/>
      <c r="F58" s="15"/>
      <c r="G58" s="15"/>
      <c r="H58" s="15"/>
      <c r="I58" s="15"/>
      <c r="J58" s="15"/>
      <c r="K58" s="15"/>
      <c r="L58" s="15"/>
      <c r="M58" s="15"/>
      <c r="N58" s="17" t="str">
        <f aca="false">IF(OR(L58="",M58="",J58="",K58=""),"",IF(S58=T58,Y58*V58*IF(F58="Y",2,1),0))</f>
        <v/>
      </c>
      <c r="O58" s="16"/>
      <c r="Q58" s="18" t="n">
        <f aca="false">IF(C58="Group",1,IF(OR(C58="SF",C58="3rd",C58="Final"),3,2))</f>
        <v>2</v>
      </c>
      <c r="R58" s="18" t="n">
        <f aca="false">CHOOSE(Q58,1,1.5,2)</f>
        <v>1.5</v>
      </c>
      <c r="S58" s="18" t="str">
        <f aca="false">IF(J58="","",IF(J58&gt;K58,"H",IF(J58=K58,"D","A")))</f>
        <v/>
      </c>
      <c r="T58" s="18" t="str">
        <f aca="false">IF(L58="","",IF(L58&gt;M58,"H",IF(L58=M58,"D","A")))</f>
        <v/>
      </c>
      <c r="U58" s="19" t="b">
        <f aca="false">AND(L58&lt;&gt;"",J58=L58,K58=M58)</f>
        <v>0</v>
      </c>
      <c r="V58" s="18" t="n">
        <f aca="false">IF(T58="H",G58,IF(T58="D",H58,IF(T58="A",I58,0)))</f>
        <v>0</v>
      </c>
      <c r="W58" s="18" t="str">
        <f aca="false">IF(L58="","",MAX(L58,M58))</f>
        <v/>
      </c>
      <c r="X58" s="18" t="str">
        <f aca="false">IF(L58="","",MIN(L58,M58))</f>
        <v/>
      </c>
      <c r="Y58" s="18" t="str">
        <f aca="false">IF(OR(L58="",M58=""),"",IF(U58,CHOOSE(Q58,INDEX(GRP,X58+1,W58+1),INDEX(KO,X58+1,W58+1),INDEX(FIN,X58+1,W58+1)),R58))</f>
        <v/>
      </c>
    </row>
    <row r="59" customFormat="false" ht="15" hidden="false" customHeight="false" outlineLevel="0" collapsed="false">
      <c r="A59" s="9" t="n">
        <v>57</v>
      </c>
      <c r="B59" s="15"/>
      <c r="C59" s="15"/>
      <c r="D59" s="16"/>
      <c r="E59" s="16"/>
      <c r="F59" s="15"/>
      <c r="G59" s="15"/>
      <c r="H59" s="15"/>
      <c r="I59" s="15"/>
      <c r="J59" s="15"/>
      <c r="K59" s="15"/>
      <c r="L59" s="15"/>
      <c r="M59" s="15"/>
      <c r="N59" s="17" t="str">
        <f aca="false">IF(OR(L59="",M59="",J59="",K59=""),"",IF(S59=T59,Y59*V59*IF(F59="Y",2,1),0))</f>
        <v/>
      </c>
      <c r="O59" s="16"/>
      <c r="Q59" s="18" t="n">
        <f aca="false">IF(C59="Group",1,IF(OR(C59="SF",C59="3rd",C59="Final"),3,2))</f>
        <v>2</v>
      </c>
      <c r="R59" s="18" t="n">
        <f aca="false">CHOOSE(Q59,1,1.5,2)</f>
        <v>1.5</v>
      </c>
      <c r="S59" s="18" t="str">
        <f aca="false">IF(J59="","",IF(J59&gt;K59,"H",IF(J59=K59,"D","A")))</f>
        <v/>
      </c>
      <c r="T59" s="18" t="str">
        <f aca="false">IF(L59="","",IF(L59&gt;M59,"H",IF(L59=M59,"D","A")))</f>
        <v/>
      </c>
      <c r="U59" s="19" t="b">
        <f aca="false">AND(L59&lt;&gt;"",J59=L59,K59=M59)</f>
        <v>0</v>
      </c>
      <c r="V59" s="18" t="n">
        <f aca="false">IF(T59="H",G59,IF(T59="D",H59,IF(T59="A",I59,0)))</f>
        <v>0</v>
      </c>
      <c r="W59" s="18" t="str">
        <f aca="false">IF(L59="","",MAX(L59,M59))</f>
        <v/>
      </c>
      <c r="X59" s="18" t="str">
        <f aca="false">IF(L59="","",MIN(L59,M59))</f>
        <v/>
      </c>
      <c r="Y59" s="18" t="str">
        <f aca="false">IF(OR(L59="",M59=""),"",IF(U59,CHOOSE(Q59,INDEX(GRP,X59+1,W59+1),INDEX(KO,X59+1,W59+1),INDEX(FIN,X59+1,W59+1)),R59))</f>
        <v/>
      </c>
    </row>
    <row r="60" customFormat="false" ht="15" hidden="false" customHeight="false" outlineLevel="0" collapsed="false">
      <c r="A60" s="9" t="n">
        <v>58</v>
      </c>
      <c r="B60" s="15"/>
      <c r="C60" s="15"/>
      <c r="D60" s="16"/>
      <c r="E60" s="16"/>
      <c r="F60" s="15"/>
      <c r="G60" s="15"/>
      <c r="H60" s="15"/>
      <c r="I60" s="15"/>
      <c r="J60" s="15"/>
      <c r="K60" s="15"/>
      <c r="L60" s="15"/>
      <c r="M60" s="15"/>
      <c r="N60" s="17" t="str">
        <f aca="false">IF(OR(L60="",M60="",J60="",K60=""),"",IF(S60=T60,Y60*V60*IF(F60="Y",2,1),0))</f>
        <v/>
      </c>
      <c r="O60" s="16"/>
      <c r="Q60" s="18" t="n">
        <f aca="false">IF(C60="Group",1,IF(OR(C60="SF",C60="3rd",C60="Final"),3,2))</f>
        <v>2</v>
      </c>
      <c r="R60" s="18" t="n">
        <f aca="false">CHOOSE(Q60,1,1.5,2)</f>
        <v>1.5</v>
      </c>
      <c r="S60" s="18" t="str">
        <f aca="false">IF(J60="","",IF(J60&gt;K60,"H",IF(J60=K60,"D","A")))</f>
        <v/>
      </c>
      <c r="T60" s="18" t="str">
        <f aca="false">IF(L60="","",IF(L60&gt;M60,"H",IF(L60=M60,"D","A")))</f>
        <v/>
      </c>
      <c r="U60" s="19" t="b">
        <f aca="false">AND(L60&lt;&gt;"",J60=L60,K60=M60)</f>
        <v>0</v>
      </c>
      <c r="V60" s="18" t="n">
        <f aca="false">IF(T60="H",G60,IF(T60="D",H60,IF(T60="A",I60,0)))</f>
        <v>0</v>
      </c>
      <c r="W60" s="18" t="str">
        <f aca="false">IF(L60="","",MAX(L60,M60))</f>
        <v/>
      </c>
      <c r="X60" s="18" t="str">
        <f aca="false">IF(L60="","",MIN(L60,M60))</f>
        <v/>
      </c>
      <c r="Y60" s="18" t="str">
        <f aca="false">IF(OR(L60="",M60=""),"",IF(U60,CHOOSE(Q60,INDEX(GRP,X60+1,W60+1),INDEX(KO,X60+1,W60+1),INDEX(FIN,X60+1,W60+1)),R60))</f>
        <v/>
      </c>
    </row>
    <row r="61" customFormat="false" ht="15" hidden="false" customHeight="false" outlineLevel="0" collapsed="false">
      <c r="A61" s="9" t="n">
        <v>59</v>
      </c>
      <c r="B61" s="15"/>
      <c r="C61" s="15"/>
      <c r="D61" s="16"/>
      <c r="E61" s="16"/>
      <c r="F61" s="15"/>
      <c r="G61" s="15"/>
      <c r="H61" s="15"/>
      <c r="I61" s="15"/>
      <c r="J61" s="15"/>
      <c r="K61" s="15"/>
      <c r="L61" s="15"/>
      <c r="M61" s="15"/>
      <c r="N61" s="17" t="str">
        <f aca="false">IF(OR(L61="",M61="",J61="",K61=""),"",IF(S61=T61,Y61*V61*IF(F61="Y",2,1),0))</f>
        <v/>
      </c>
      <c r="O61" s="16"/>
      <c r="Q61" s="18" t="n">
        <f aca="false">IF(C61="Group",1,IF(OR(C61="SF",C61="3rd",C61="Final"),3,2))</f>
        <v>2</v>
      </c>
      <c r="R61" s="18" t="n">
        <f aca="false">CHOOSE(Q61,1,1.5,2)</f>
        <v>1.5</v>
      </c>
      <c r="S61" s="18" t="str">
        <f aca="false">IF(J61="","",IF(J61&gt;K61,"H",IF(J61=K61,"D","A")))</f>
        <v/>
      </c>
      <c r="T61" s="18" t="str">
        <f aca="false">IF(L61="","",IF(L61&gt;M61,"H",IF(L61=M61,"D","A")))</f>
        <v/>
      </c>
      <c r="U61" s="19" t="b">
        <f aca="false">AND(L61&lt;&gt;"",J61=L61,K61=M61)</f>
        <v>0</v>
      </c>
      <c r="V61" s="18" t="n">
        <f aca="false">IF(T61="H",G61,IF(T61="D",H61,IF(T61="A",I61,0)))</f>
        <v>0</v>
      </c>
      <c r="W61" s="18" t="str">
        <f aca="false">IF(L61="","",MAX(L61,M61))</f>
        <v/>
      </c>
      <c r="X61" s="18" t="str">
        <f aca="false">IF(L61="","",MIN(L61,M61))</f>
        <v/>
      </c>
      <c r="Y61" s="18" t="str">
        <f aca="false">IF(OR(L61="",M61=""),"",IF(U61,CHOOSE(Q61,INDEX(GRP,X61+1,W61+1),INDEX(KO,X61+1,W61+1),INDEX(FIN,X61+1,W61+1)),R61))</f>
        <v/>
      </c>
    </row>
    <row r="62" customFormat="false" ht="15" hidden="false" customHeight="false" outlineLevel="0" collapsed="false">
      <c r="A62" s="9" t="n">
        <v>60</v>
      </c>
      <c r="B62" s="15"/>
      <c r="C62" s="15"/>
      <c r="D62" s="16"/>
      <c r="E62" s="16"/>
      <c r="F62" s="15"/>
      <c r="G62" s="15"/>
      <c r="H62" s="15"/>
      <c r="I62" s="15"/>
      <c r="J62" s="15"/>
      <c r="K62" s="15"/>
      <c r="L62" s="15"/>
      <c r="M62" s="15"/>
      <c r="N62" s="17" t="str">
        <f aca="false">IF(OR(L62="",M62="",J62="",K62=""),"",IF(S62=T62,Y62*V62*IF(F62="Y",2,1),0))</f>
        <v/>
      </c>
      <c r="O62" s="16"/>
      <c r="Q62" s="18" t="n">
        <f aca="false">IF(C62="Group",1,IF(OR(C62="SF",C62="3rd",C62="Final"),3,2))</f>
        <v>2</v>
      </c>
      <c r="R62" s="18" t="n">
        <f aca="false">CHOOSE(Q62,1,1.5,2)</f>
        <v>1.5</v>
      </c>
      <c r="S62" s="18" t="str">
        <f aca="false">IF(J62="","",IF(J62&gt;K62,"H",IF(J62=K62,"D","A")))</f>
        <v/>
      </c>
      <c r="T62" s="18" t="str">
        <f aca="false">IF(L62="","",IF(L62&gt;M62,"H",IF(L62=M62,"D","A")))</f>
        <v/>
      </c>
      <c r="U62" s="19" t="b">
        <f aca="false">AND(L62&lt;&gt;"",J62=L62,K62=M62)</f>
        <v>0</v>
      </c>
      <c r="V62" s="18" t="n">
        <f aca="false">IF(T62="H",G62,IF(T62="D",H62,IF(T62="A",I62,0)))</f>
        <v>0</v>
      </c>
      <c r="W62" s="18" t="str">
        <f aca="false">IF(L62="","",MAX(L62,M62))</f>
        <v/>
      </c>
      <c r="X62" s="18" t="str">
        <f aca="false">IF(L62="","",MIN(L62,M62))</f>
        <v/>
      </c>
      <c r="Y62" s="18" t="str">
        <f aca="false">IF(OR(L62="",M62=""),"",IF(U62,CHOOSE(Q62,INDEX(GRP,X62+1,W62+1),INDEX(KO,X62+1,W62+1),INDEX(FIN,X62+1,W62+1)),R62))</f>
        <v/>
      </c>
    </row>
    <row r="63" customFormat="false" ht="15" hidden="false" customHeight="false" outlineLevel="0" collapsed="false">
      <c r="A63" s="9" t="n">
        <v>61</v>
      </c>
      <c r="B63" s="15"/>
      <c r="C63" s="15"/>
      <c r="D63" s="16"/>
      <c r="E63" s="16"/>
      <c r="F63" s="15"/>
      <c r="G63" s="15"/>
      <c r="H63" s="15"/>
      <c r="I63" s="15"/>
      <c r="J63" s="15"/>
      <c r="K63" s="15"/>
      <c r="L63" s="15"/>
      <c r="M63" s="15"/>
      <c r="N63" s="17" t="str">
        <f aca="false">IF(OR(L63="",M63="",J63="",K63=""),"",IF(S63=T63,Y63*V63*IF(F63="Y",2,1),0))</f>
        <v/>
      </c>
      <c r="O63" s="16"/>
      <c r="Q63" s="18" t="n">
        <f aca="false">IF(C63="Group",1,IF(OR(C63="SF",C63="3rd",C63="Final"),3,2))</f>
        <v>2</v>
      </c>
      <c r="R63" s="18" t="n">
        <f aca="false">CHOOSE(Q63,1,1.5,2)</f>
        <v>1.5</v>
      </c>
      <c r="S63" s="18" t="str">
        <f aca="false">IF(J63="","",IF(J63&gt;K63,"H",IF(J63=K63,"D","A")))</f>
        <v/>
      </c>
      <c r="T63" s="18" t="str">
        <f aca="false">IF(L63="","",IF(L63&gt;M63,"H",IF(L63=M63,"D","A")))</f>
        <v/>
      </c>
      <c r="U63" s="19" t="b">
        <f aca="false">AND(L63&lt;&gt;"",J63=L63,K63=M63)</f>
        <v>0</v>
      </c>
      <c r="V63" s="18" t="n">
        <f aca="false">IF(T63="H",G63,IF(T63="D",H63,IF(T63="A",I63,0)))</f>
        <v>0</v>
      </c>
      <c r="W63" s="18" t="str">
        <f aca="false">IF(L63="","",MAX(L63,M63))</f>
        <v/>
      </c>
      <c r="X63" s="18" t="str">
        <f aca="false">IF(L63="","",MIN(L63,M63))</f>
        <v/>
      </c>
      <c r="Y63" s="18" t="str">
        <f aca="false">IF(OR(L63="",M63=""),"",IF(U63,CHOOSE(Q63,INDEX(GRP,X63+1,W63+1),INDEX(KO,X63+1,W63+1),INDEX(FIN,X63+1,W63+1)),R63))</f>
        <v/>
      </c>
    </row>
    <row r="64" customFormat="false" ht="15" hidden="false" customHeight="false" outlineLevel="0" collapsed="false">
      <c r="A64" s="9" t="n">
        <v>62</v>
      </c>
      <c r="B64" s="15"/>
      <c r="C64" s="15"/>
      <c r="D64" s="16"/>
      <c r="E64" s="16"/>
      <c r="F64" s="15"/>
      <c r="G64" s="15"/>
      <c r="H64" s="15"/>
      <c r="I64" s="15"/>
      <c r="J64" s="15"/>
      <c r="K64" s="15"/>
      <c r="L64" s="15"/>
      <c r="M64" s="15"/>
      <c r="N64" s="17" t="str">
        <f aca="false">IF(OR(L64="",M64="",J64="",K64=""),"",IF(S64=T64,Y64*V64*IF(F64="Y",2,1),0))</f>
        <v/>
      </c>
      <c r="O64" s="16"/>
      <c r="Q64" s="18" t="n">
        <f aca="false">IF(C64="Group",1,IF(OR(C64="SF",C64="3rd",C64="Final"),3,2))</f>
        <v>2</v>
      </c>
      <c r="R64" s="18" t="n">
        <f aca="false">CHOOSE(Q64,1,1.5,2)</f>
        <v>1.5</v>
      </c>
      <c r="S64" s="18" t="str">
        <f aca="false">IF(J64="","",IF(J64&gt;K64,"H",IF(J64=K64,"D","A")))</f>
        <v/>
      </c>
      <c r="T64" s="18" t="str">
        <f aca="false">IF(L64="","",IF(L64&gt;M64,"H",IF(L64=M64,"D","A")))</f>
        <v/>
      </c>
      <c r="U64" s="19" t="b">
        <f aca="false">AND(L64&lt;&gt;"",J64=L64,K64=M64)</f>
        <v>0</v>
      </c>
      <c r="V64" s="18" t="n">
        <f aca="false">IF(T64="H",G64,IF(T64="D",H64,IF(T64="A",I64,0)))</f>
        <v>0</v>
      </c>
      <c r="W64" s="18" t="str">
        <f aca="false">IF(L64="","",MAX(L64,M64))</f>
        <v/>
      </c>
      <c r="X64" s="18" t="str">
        <f aca="false">IF(L64="","",MIN(L64,M64))</f>
        <v/>
      </c>
      <c r="Y64" s="18" t="str">
        <f aca="false">IF(OR(L64="",M64=""),"",IF(U64,CHOOSE(Q64,INDEX(GRP,X64+1,W64+1),INDEX(KO,X64+1,W64+1),INDEX(FIN,X64+1,W64+1)),R64))</f>
        <v/>
      </c>
    </row>
    <row r="65" customFormat="false" ht="15" hidden="false" customHeight="false" outlineLevel="0" collapsed="false">
      <c r="A65" s="9" t="n">
        <v>63</v>
      </c>
      <c r="B65" s="15"/>
      <c r="C65" s="15"/>
      <c r="D65" s="16"/>
      <c r="E65" s="16"/>
      <c r="F65" s="15"/>
      <c r="G65" s="15"/>
      <c r="H65" s="15"/>
      <c r="I65" s="15"/>
      <c r="J65" s="15"/>
      <c r="K65" s="15"/>
      <c r="L65" s="15"/>
      <c r="M65" s="15"/>
      <c r="N65" s="17" t="str">
        <f aca="false">IF(OR(L65="",M65="",J65="",K65=""),"",IF(S65=T65,Y65*V65*IF(F65="Y",2,1),0))</f>
        <v/>
      </c>
      <c r="O65" s="16"/>
      <c r="Q65" s="18" t="n">
        <f aca="false">IF(C65="Group",1,IF(OR(C65="SF",C65="3rd",C65="Final"),3,2))</f>
        <v>2</v>
      </c>
      <c r="R65" s="18" t="n">
        <f aca="false">CHOOSE(Q65,1,1.5,2)</f>
        <v>1.5</v>
      </c>
      <c r="S65" s="18" t="str">
        <f aca="false">IF(J65="","",IF(J65&gt;K65,"H",IF(J65=K65,"D","A")))</f>
        <v/>
      </c>
      <c r="T65" s="18" t="str">
        <f aca="false">IF(L65="","",IF(L65&gt;M65,"H",IF(L65=M65,"D","A")))</f>
        <v/>
      </c>
      <c r="U65" s="19" t="b">
        <f aca="false">AND(L65&lt;&gt;"",J65=L65,K65=M65)</f>
        <v>0</v>
      </c>
      <c r="V65" s="18" t="n">
        <f aca="false">IF(T65="H",G65,IF(T65="D",H65,IF(T65="A",I65,0)))</f>
        <v>0</v>
      </c>
      <c r="W65" s="18" t="str">
        <f aca="false">IF(L65="","",MAX(L65,M65))</f>
        <v/>
      </c>
      <c r="X65" s="18" t="str">
        <f aca="false">IF(L65="","",MIN(L65,M65))</f>
        <v/>
      </c>
      <c r="Y65" s="18" t="str">
        <f aca="false">IF(OR(L65="",M65=""),"",IF(U65,CHOOSE(Q65,INDEX(GRP,X65+1,W65+1),INDEX(KO,X65+1,W65+1),INDEX(FIN,X65+1,W65+1)),R65))</f>
        <v/>
      </c>
    </row>
    <row r="66" customFormat="false" ht="15" hidden="false" customHeight="false" outlineLevel="0" collapsed="false">
      <c r="A66" s="9" t="n">
        <v>64</v>
      </c>
      <c r="B66" s="15"/>
      <c r="C66" s="15"/>
      <c r="D66" s="16"/>
      <c r="E66" s="16"/>
      <c r="F66" s="15"/>
      <c r="G66" s="15"/>
      <c r="H66" s="15"/>
      <c r="I66" s="15"/>
      <c r="J66" s="15"/>
      <c r="K66" s="15"/>
      <c r="L66" s="15"/>
      <c r="M66" s="15"/>
      <c r="N66" s="17" t="str">
        <f aca="false">IF(OR(L66="",M66="",J66="",K66=""),"",IF(S66=T66,Y66*V66*IF(F66="Y",2,1),0))</f>
        <v/>
      </c>
      <c r="O66" s="16"/>
      <c r="Q66" s="18" t="n">
        <f aca="false">IF(C66="Group",1,IF(OR(C66="SF",C66="3rd",C66="Final"),3,2))</f>
        <v>2</v>
      </c>
      <c r="R66" s="18" t="n">
        <f aca="false">CHOOSE(Q66,1,1.5,2)</f>
        <v>1.5</v>
      </c>
      <c r="S66" s="18" t="str">
        <f aca="false">IF(J66="","",IF(J66&gt;K66,"H",IF(J66=K66,"D","A")))</f>
        <v/>
      </c>
      <c r="T66" s="18" t="str">
        <f aca="false">IF(L66="","",IF(L66&gt;M66,"H",IF(L66=M66,"D","A")))</f>
        <v/>
      </c>
      <c r="U66" s="19" t="b">
        <f aca="false">AND(L66&lt;&gt;"",J66=L66,K66=M66)</f>
        <v>0</v>
      </c>
      <c r="V66" s="18" t="n">
        <f aca="false">IF(T66="H",G66,IF(T66="D",H66,IF(T66="A",I66,0)))</f>
        <v>0</v>
      </c>
      <c r="W66" s="18" t="str">
        <f aca="false">IF(L66="","",MAX(L66,M66))</f>
        <v/>
      </c>
      <c r="X66" s="18" t="str">
        <f aca="false">IF(L66="","",MIN(L66,M66))</f>
        <v/>
      </c>
      <c r="Y66" s="18" t="str">
        <f aca="false">IF(OR(L66="",M66=""),"",IF(U66,CHOOSE(Q66,INDEX(GRP,X66+1,W66+1),INDEX(KO,X66+1,W66+1),INDEX(FIN,X66+1,W66+1)),R66))</f>
        <v/>
      </c>
    </row>
    <row r="67" customFormat="false" ht="15" hidden="false" customHeight="false" outlineLevel="0" collapsed="false">
      <c r="A67" s="9" t="n">
        <v>65</v>
      </c>
      <c r="B67" s="15"/>
      <c r="C67" s="15"/>
      <c r="D67" s="16"/>
      <c r="E67" s="16"/>
      <c r="F67" s="15"/>
      <c r="G67" s="15"/>
      <c r="H67" s="15"/>
      <c r="I67" s="15"/>
      <c r="J67" s="15"/>
      <c r="K67" s="15"/>
      <c r="L67" s="15"/>
      <c r="M67" s="15"/>
      <c r="N67" s="17" t="str">
        <f aca="false">IF(OR(L67="",M67="",J67="",K67=""),"",IF(S67=T67,Y67*V67*IF(F67="Y",2,1),0))</f>
        <v/>
      </c>
      <c r="O67" s="16"/>
      <c r="Q67" s="18" t="n">
        <f aca="false">IF(C67="Group",1,IF(OR(C67="SF",C67="3rd",C67="Final"),3,2))</f>
        <v>2</v>
      </c>
      <c r="R67" s="18" t="n">
        <f aca="false">CHOOSE(Q67,1,1.5,2)</f>
        <v>1.5</v>
      </c>
      <c r="S67" s="18" t="str">
        <f aca="false">IF(J67="","",IF(J67&gt;K67,"H",IF(J67=K67,"D","A")))</f>
        <v/>
      </c>
      <c r="T67" s="18" t="str">
        <f aca="false">IF(L67="","",IF(L67&gt;M67,"H",IF(L67=M67,"D","A")))</f>
        <v/>
      </c>
      <c r="U67" s="19" t="b">
        <f aca="false">AND(L67&lt;&gt;"",J67=L67,K67=M67)</f>
        <v>0</v>
      </c>
      <c r="V67" s="18" t="n">
        <f aca="false">IF(T67="H",G67,IF(T67="D",H67,IF(T67="A",I67,0)))</f>
        <v>0</v>
      </c>
      <c r="W67" s="18" t="str">
        <f aca="false">IF(L67="","",MAX(L67,M67))</f>
        <v/>
      </c>
      <c r="X67" s="18" t="str">
        <f aca="false">IF(L67="","",MIN(L67,M67))</f>
        <v/>
      </c>
      <c r="Y67" s="18" t="str">
        <f aca="false">IF(OR(L67="",M67=""),"",IF(U67,CHOOSE(Q67,INDEX(GRP,X67+1,W67+1),INDEX(KO,X67+1,W67+1),INDEX(FIN,X67+1,W67+1)),R67))</f>
        <v/>
      </c>
    </row>
    <row r="68" customFormat="false" ht="15" hidden="false" customHeight="false" outlineLevel="0" collapsed="false">
      <c r="A68" s="9" t="n">
        <v>66</v>
      </c>
      <c r="B68" s="15"/>
      <c r="C68" s="15"/>
      <c r="D68" s="16"/>
      <c r="E68" s="16"/>
      <c r="F68" s="15"/>
      <c r="G68" s="15"/>
      <c r="H68" s="15"/>
      <c r="I68" s="15"/>
      <c r="J68" s="15"/>
      <c r="K68" s="15"/>
      <c r="L68" s="15"/>
      <c r="M68" s="15"/>
      <c r="N68" s="17" t="str">
        <f aca="false">IF(OR(L68="",M68="",J68="",K68=""),"",IF(S68=T68,Y68*V68*IF(F68="Y",2,1),0))</f>
        <v/>
      </c>
      <c r="O68" s="16"/>
      <c r="Q68" s="18" t="n">
        <f aca="false">IF(C68="Group",1,IF(OR(C68="SF",C68="3rd",C68="Final"),3,2))</f>
        <v>2</v>
      </c>
      <c r="R68" s="18" t="n">
        <f aca="false">CHOOSE(Q68,1,1.5,2)</f>
        <v>1.5</v>
      </c>
      <c r="S68" s="18" t="str">
        <f aca="false">IF(J68="","",IF(J68&gt;K68,"H",IF(J68=K68,"D","A")))</f>
        <v/>
      </c>
      <c r="T68" s="18" t="str">
        <f aca="false">IF(L68="","",IF(L68&gt;M68,"H",IF(L68=M68,"D","A")))</f>
        <v/>
      </c>
      <c r="U68" s="19" t="b">
        <f aca="false">AND(L68&lt;&gt;"",J68=L68,K68=M68)</f>
        <v>0</v>
      </c>
      <c r="V68" s="18" t="n">
        <f aca="false">IF(T68="H",G68,IF(T68="D",H68,IF(T68="A",I68,0)))</f>
        <v>0</v>
      </c>
      <c r="W68" s="18" t="str">
        <f aca="false">IF(L68="","",MAX(L68,M68))</f>
        <v/>
      </c>
      <c r="X68" s="18" t="str">
        <f aca="false">IF(L68="","",MIN(L68,M68))</f>
        <v/>
      </c>
      <c r="Y68" s="18" t="str">
        <f aca="false">IF(OR(L68="",M68=""),"",IF(U68,CHOOSE(Q68,INDEX(GRP,X68+1,W68+1),INDEX(KO,X68+1,W68+1),INDEX(FIN,X68+1,W68+1)),R68))</f>
        <v/>
      </c>
    </row>
    <row r="69" customFormat="false" ht="15" hidden="false" customHeight="false" outlineLevel="0" collapsed="false">
      <c r="A69" s="9" t="n">
        <v>67</v>
      </c>
      <c r="B69" s="15"/>
      <c r="C69" s="15"/>
      <c r="D69" s="16"/>
      <c r="E69" s="16"/>
      <c r="F69" s="15"/>
      <c r="G69" s="15"/>
      <c r="H69" s="15"/>
      <c r="I69" s="15"/>
      <c r="J69" s="15"/>
      <c r="K69" s="15"/>
      <c r="L69" s="15"/>
      <c r="M69" s="15"/>
      <c r="N69" s="17" t="str">
        <f aca="false">IF(OR(L69="",M69="",J69="",K69=""),"",IF(S69=T69,Y69*V69*IF(F69="Y",2,1),0))</f>
        <v/>
      </c>
      <c r="O69" s="16"/>
      <c r="Q69" s="18" t="n">
        <f aca="false">IF(C69="Group",1,IF(OR(C69="SF",C69="3rd",C69="Final"),3,2))</f>
        <v>2</v>
      </c>
      <c r="R69" s="18" t="n">
        <f aca="false">CHOOSE(Q69,1,1.5,2)</f>
        <v>1.5</v>
      </c>
      <c r="S69" s="18" t="str">
        <f aca="false">IF(J69="","",IF(J69&gt;K69,"H",IF(J69=K69,"D","A")))</f>
        <v/>
      </c>
      <c r="T69" s="18" t="str">
        <f aca="false">IF(L69="","",IF(L69&gt;M69,"H",IF(L69=M69,"D","A")))</f>
        <v/>
      </c>
      <c r="U69" s="19" t="b">
        <f aca="false">AND(L69&lt;&gt;"",J69=L69,K69=M69)</f>
        <v>0</v>
      </c>
      <c r="V69" s="18" t="n">
        <f aca="false">IF(T69="H",G69,IF(T69="D",H69,IF(T69="A",I69,0)))</f>
        <v>0</v>
      </c>
      <c r="W69" s="18" t="str">
        <f aca="false">IF(L69="","",MAX(L69,M69))</f>
        <v/>
      </c>
      <c r="X69" s="18" t="str">
        <f aca="false">IF(L69="","",MIN(L69,M69))</f>
        <v/>
      </c>
      <c r="Y69" s="18" t="str">
        <f aca="false">IF(OR(L69="",M69=""),"",IF(U69,CHOOSE(Q69,INDEX(GRP,X69+1,W69+1),INDEX(KO,X69+1,W69+1),INDEX(FIN,X69+1,W69+1)),R69))</f>
        <v/>
      </c>
    </row>
    <row r="70" customFormat="false" ht="15" hidden="false" customHeight="false" outlineLevel="0" collapsed="false">
      <c r="A70" s="9" t="n">
        <v>68</v>
      </c>
      <c r="B70" s="15"/>
      <c r="C70" s="15"/>
      <c r="D70" s="16"/>
      <c r="E70" s="16"/>
      <c r="F70" s="15"/>
      <c r="G70" s="15"/>
      <c r="H70" s="15"/>
      <c r="I70" s="15"/>
      <c r="J70" s="15"/>
      <c r="K70" s="15"/>
      <c r="L70" s="15"/>
      <c r="M70" s="15"/>
      <c r="N70" s="17" t="str">
        <f aca="false">IF(OR(L70="",M70="",J70="",K70=""),"",IF(S70=T70,Y70*V70*IF(F70="Y",2,1),0))</f>
        <v/>
      </c>
      <c r="O70" s="16"/>
      <c r="Q70" s="18" t="n">
        <f aca="false">IF(C70="Group",1,IF(OR(C70="SF",C70="3rd",C70="Final"),3,2))</f>
        <v>2</v>
      </c>
      <c r="R70" s="18" t="n">
        <f aca="false">CHOOSE(Q70,1,1.5,2)</f>
        <v>1.5</v>
      </c>
      <c r="S70" s="18" t="str">
        <f aca="false">IF(J70="","",IF(J70&gt;K70,"H",IF(J70=K70,"D","A")))</f>
        <v/>
      </c>
      <c r="T70" s="18" t="str">
        <f aca="false">IF(L70="","",IF(L70&gt;M70,"H",IF(L70=M70,"D","A")))</f>
        <v/>
      </c>
      <c r="U70" s="19" t="b">
        <f aca="false">AND(L70&lt;&gt;"",J70=L70,K70=M70)</f>
        <v>0</v>
      </c>
      <c r="V70" s="18" t="n">
        <f aca="false">IF(T70="H",G70,IF(T70="D",H70,IF(T70="A",I70,0)))</f>
        <v>0</v>
      </c>
      <c r="W70" s="18" t="str">
        <f aca="false">IF(L70="","",MAX(L70,M70))</f>
        <v/>
      </c>
      <c r="X70" s="18" t="str">
        <f aca="false">IF(L70="","",MIN(L70,M70))</f>
        <v/>
      </c>
      <c r="Y70" s="18" t="str">
        <f aca="false">IF(OR(L70="",M70=""),"",IF(U70,CHOOSE(Q70,INDEX(GRP,X70+1,W70+1),INDEX(KO,X70+1,W70+1),INDEX(FIN,X70+1,W70+1)),R70))</f>
        <v/>
      </c>
    </row>
    <row r="71" customFormat="false" ht="15" hidden="false" customHeight="false" outlineLevel="0" collapsed="false">
      <c r="A71" s="9" t="n">
        <v>69</v>
      </c>
      <c r="B71" s="15"/>
      <c r="C71" s="15"/>
      <c r="D71" s="16"/>
      <c r="E71" s="16"/>
      <c r="F71" s="15"/>
      <c r="G71" s="15"/>
      <c r="H71" s="15"/>
      <c r="I71" s="15"/>
      <c r="J71" s="15"/>
      <c r="K71" s="15"/>
      <c r="L71" s="15"/>
      <c r="M71" s="15"/>
      <c r="N71" s="17" t="str">
        <f aca="false">IF(OR(L71="",M71="",J71="",K71=""),"",IF(S71=T71,Y71*V71*IF(F71="Y",2,1),0))</f>
        <v/>
      </c>
      <c r="O71" s="16"/>
      <c r="Q71" s="18" t="n">
        <f aca="false">IF(C71="Group",1,IF(OR(C71="SF",C71="3rd",C71="Final"),3,2))</f>
        <v>2</v>
      </c>
      <c r="R71" s="18" t="n">
        <f aca="false">CHOOSE(Q71,1,1.5,2)</f>
        <v>1.5</v>
      </c>
      <c r="S71" s="18" t="str">
        <f aca="false">IF(J71="","",IF(J71&gt;K71,"H",IF(J71=K71,"D","A")))</f>
        <v/>
      </c>
      <c r="T71" s="18" t="str">
        <f aca="false">IF(L71="","",IF(L71&gt;M71,"H",IF(L71=M71,"D","A")))</f>
        <v/>
      </c>
      <c r="U71" s="19" t="b">
        <f aca="false">AND(L71&lt;&gt;"",J71=L71,K71=M71)</f>
        <v>0</v>
      </c>
      <c r="V71" s="18" t="n">
        <f aca="false">IF(T71="H",G71,IF(T71="D",H71,IF(T71="A",I71,0)))</f>
        <v>0</v>
      </c>
      <c r="W71" s="18" t="str">
        <f aca="false">IF(L71="","",MAX(L71,M71))</f>
        <v/>
      </c>
      <c r="X71" s="18" t="str">
        <f aca="false">IF(L71="","",MIN(L71,M71))</f>
        <v/>
      </c>
      <c r="Y71" s="18" t="str">
        <f aca="false">IF(OR(L71="",M71=""),"",IF(U71,CHOOSE(Q71,INDEX(GRP,X71+1,W71+1),INDEX(KO,X71+1,W71+1),INDEX(FIN,X71+1,W71+1)),R71))</f>
        <v/>
      </c>
    </row>
    <row r="72" customFormat="false" ht="15" hidden="false" customHeight="false" outlineLevel="0" collapsed="false">
      <c r="A72" s="9" t="n">
        <v>70</v>
      </c>
      <c r="B72" s="15"/>
      <c r="C72" s="15"/>
      <c r="D72" s="16"/>
      <c r="E72" s="16"/>
      <c r="F72" s="15"/>
      <c r="G72" s="15"/>
      <c r="H72" s="15"/>
      <c r="I72" s="15"/>
      <c r="J72" s="15"/>
      <c r="K72" s="15"/>
      <c r="L72" s="15"/>
      <c r="M72" s="15"/>
      <c r="N72" s="17" t="str">
        <f aca="false">IF(OR(L72="",M72="",J72="",K72=""),"",IF(S72=T72,Y72*V72*IF(F72="Y",2,1),0))</f>
        <v/>
      </c>
      <c r="O72" s="16"/>
      <c r="Q72" s="18" t="n">
        <f aca="false">IF(C72="Group",1,IF(OR(C72="SF",C72="3rd",C72="Final"),3,2))</f>
        <v>2</v>
      </c>
      <c r="R72" s="18" t="n">
        <f aca="false">CHOOSE(Q72,1,1.5,2)</f>
        <v>1.5</v>
      </c>
      <c r="S72" s="18" t="str">
        <f aca="false">IF(J72="","",IF(J72&gt;K72,"H",IF(J72=K72,"D","A")))</f>
        <v/>
      </c>
      <c r="T72" s="18" t="str">
        <f aca="false">IF(L72="","",IF(L72&gt;M72,"H",IF(L72=M72,"D","A")))</f>
        <v/>
      </c>
      <c r="U72" s="19" t="b">
        <f aca="false">AND(L72&lt;&gt;"",J72=L72,K72=M72)</f>
        <v>0</v>
      </c>
      <c r="V72" s="18" t="n">
        <f aca="false">IF(T72="H",G72,IF(T72="D",H72,IF(T72="A",I72,0)))</f>
        <v>0</v>
      </c>
      <c r="W72" s="18" t="str">
        <f aca="false">IF(L72="","",MAX(L72,M72))</f>
        <v/>
      </c>
      <c r="X72" s="18" t="str">
        <f aca="false">IF(L72="","",MIN(L72,M72))</f>
        <v/>
      </c>
      <c r="Y72" s="18" t="str">
        <f aca="false">IF(OR(L72="",M72=""),"",IF(U72,CHOOSE(Q72,INDEX(GRP,X72+1,W72+1),INDEX(KO,X72+1,W72+1),INDEX(FIN,X72+1,W72+1)),R72))</f>
        <v/>
      </c>
    </row>
    <row r="73" customFormat="false" ht="15" hidden="false" customHeight="false" outlineLevel="0" collapsed="false">
      <c r="A73" s="9" t="n">
        <v>71</v>
      </c>
      <c r="B73" s="15"/>
      <c r="C73" s="15"/>
      <c r="D73" s="16"/>
      <c r="E73" s="16"/>
      <c r="F73" s="15"/>
      <c r="G73" s="15"/>
      <c r="H73" s="15"/>
      <c r="I73" s="15"/>
      <c r="J73" s="15"/>
      <c r="K73" s="15"/>
      <c r="L73" s="15"/>
      <c r="M73" s="15"/>
      <c r="N73" s="17" t="str">
        <f aca="false">IF(OR(L73="",M73="",J73="",K73=""),"",IF(S73=T73,Y73*V73*IF(F73="Y",2,1),0))</f>
        <v/>
      </c>
      <c r="O73" s="16"/>
      <c r="Q73" s="18" t="n">
        <f aca="false">IF(C73="Group",1,IF(OR(C73="SF",C73="3rd",C73="Final"),3,2))</f>
        <v>2</v>
      </c>
      <c r="R73" s="18" t="n">
        <f aca="false">CHOOSE(Q73,1,1.5,2)</f>
        <v>1.5</v>
      </c>
      <c r="S73" s="18" t="str">
        <f aca="false">IF(J73="","",IF(J73&gt;K73,"H",IF(J73=K73,"D","A")))</f>
        <v/>
      </c>
      <c r="T73" s="18" t="str">
        <f aca="false">IF(L73="","",IF(L73&gt;M73,"H",IF(L73=M73,"D","A")))</f>
        <v/>
      </c>
      <c r="U73" s="19" t="b">
        <f aca="false">AND(L73&lt;&gt;"",J73=L73,K73=M73)</f>
        <v>0</v>
      </c>
      <c r="V73" s="18" t="n">
        <f aca="false">IF(T73="H",G73,IF(T73="D",H73,IF(T73="A",I73,0)))</f>
        <v>0</v>
      </c>
      <c r="W73" s="18" t="str">
        <f aca="false">IF(L73="","",MAX(L73,M73))</f>
        <v/>
      </c>
      <c r="X73" s="18" t="str">
        <f aca="false">IF(L73="","",MIN(L73,M73))</f>
        <v/>
      </c>
      <c r="Y73" s="18" t="str">
        <f aca="false">IF(OR(L73="",M73=""),"",IF(U73,CHOOSE(Q73,INDEX(GRP,X73+1,W73+1),INDEX(KO,X73+1,W73+1),INDEX(FIN,X73+1,W73+1)),R73))</f>
        <v/>
      </c>
    </row>
    <row r="74" customFormat="false" ht="15" hidden="false" customHeight="false" outlineLevel="0" collapsed="false">
      <c r="A74" s="9" t="n">
        <v>72</v>
      </c>
      <c r="B74" s="15"/>
      <c r="C74" s="15"/>
      <c r="D74" s="16"/>
      <c r="E74" s="16"/>
      <c r="F74" s="15"/>
      <c r="G74" s="15"/>
      <c r="H74" s="15"/>
      <c r="I74" s="15"/>
      <c r="J74" s="15"/>
      <c r="K74" s="15"/>
      <c r="L74" s="15"/>
      <c r="M74" s="15"/>
      <c r="N74" s="17" t="str">
        <f aca="false">IF(OR(L74="",M74="",J74="",K74=""),"",IF(S74=T74,Y74*V74*IF(F74="Y",2,1),0))</f>
        <v/>
      </c>
      <c r="O74" s="16"/>
      <c r="Q74" s="18" t="n">
        <f aca="false">IF(C74="Group",1,IF(OR(C74="SF",C74="3rd",C74="Final"),3,2))</f>
        <v>2</v>
      </c>
      <c r="R74" s="18" t="n">
        <f aca="false">CHOOSE(Q74,1,1.5,2)</f>
        <v>1.5</v>
      </c>
      <c r="S74" s="18" t="str">
        <f aca="false">IF(J74="","",IF(J74&gt;K74,"H",IF(J74=K74,"D","A")))</f>
        <v/>
      </c>
      <c r="T74" s="18" t="str">
        <f aca="false">IF(L74="","",IF(L74&gt;M74,"H",IF(L74=M74,"D","A")))</f>
        <v/>
      </c>
      <c r="U74" s="19" t="b">
        <f aca="false">AND(L74&lt;&gt;"",J74=L74,K74=M74)</f>
        <v>0</v>
      </c>
      <c r="V74" s="18" t="n">
        <f aca="false">IF(T74="H",G74,IF(T74="D",H74,IF(T74="A",I74,0)))</f>
        <v>0</v>
      </c>
      <c r="W74" s="18" t="str">
        <f aca="false">IF(L74="","",MAX(L74,M74))</f>
        <v/>
      </c>
      <c r="X74" s="18" t="str">
        <f aca="false">IF(L74="","",MIN(L74,M74))</f>
        <v/>
      </c>
      <c r="Y74" s="18" t="str">
        <f aca="false">IF(OR(L74="",M74=""),"",IF(U74,CHOOSE(Q74,INDEX(GRP,X74+1,W74+1),INDEX(KO,X74+1,W74+1),INDEX(FIN,X74+1,W74+1)),R74))</f>
        <v/>
      </c>
    </row>
    <row r="75" customFormat="false" ht="15" hidden="false" customHeight="false" outlineLevel="0" collapsed="false">
      <c r="A75" s="9" t="n">
        <v>73</v>
      </c>
      <c r="B75" s="15"/>
      <c r="C75" s="15"/>
      <c r="D75" s="16"/>
      <c r="E75" s="16"/>
      <c r="F75" s="15"/>
      <c r="G75" s="15"/>
      <c r="H75" s="15"/>
      <c r="I75" s="15"/>
      <c r="J75" s="15"/>
      <c r="K75" s="15"/>
      <c r="L75" s="15"/>
      <c r="M75" s="15"/>
      <c r="N75" s="17" t="str">
        <f aca="false">IF(OR(L75="",M75="",J75="",K75=""),"",IF(S75=T75,Y75*V75*IF(F75="Y",2,1),0))</f>
        <v/>
      </c>
      <c r="O75" s="16"/>
      <c r="Q75" s="18" t="n">
        <f aca="false">IF(C75="Group",1,IF(OR(C75="SF",C75="3rd",C75="Final"),3,2))</f>
        <v>2</v>
      </c>
      <c r="R75" s="18" t="n">
        <f aca="false">CHOOSE(Q75,1,1.5,2)</f>
        <v>1.5</v>
      </c>
      <c r="S75" s="18" t="str">
        <f aca="false">IF(J75="","",IF(J75&gt;K75,"H",IF(J75=K75,"D","A")))</f>
        <v/>
      </c>
      <c r="T75" s="18" t="str">
        <f aca="false">IF(L75="","",IF(L75&gt;M75,"H",IF(L75=M75,"D","A")))</f>
        <v/>
      </c>
      <c r="U75" s="19" t="b">
        <f aca="false">AND(L75&lt;&gt;"",J75=L75,K75=M75)</f>
        <v>0</v>
      </c>
      <c r="V75" s="18" t="n">
        <f aca="false">IF(T75="H",G75,IF(T75="D",H75,IF(T75="A",I75,0)))</f>
        <v>0</v>
      </c>
      <c r="W75" s="18" t="str">
        <f aca="false">IF(L75="","",MAX(L75,M75))</f>
        <v/>
      </c>
      <c r="X75" s="18" t="str">
        <f aca="false">IF(L75="","",MIN(L75,M75))</f>
        <v/>
      </c>
      <c r="Y75" s="18" t="str">
        <f aca="false">IF(OR(L75="",M75=""),"",IF(U75,CHOOSE(Q75,INDEX(GRP,X75+1,W75+1),INDEX(KO,X75+1,W75+1),INDEX(FIN,X75+1,W75+1)),R75))</f>
        <v/>
      </c>
    </row>
    <row r="76" customFormat="false" ht="15" hidden="false" customHeight="false" outlineLevel="0" collapsed="false">
      <c r="A76" s="9" t="n">
        <v>74</v>
      </c>
      <c r="B76" s="15"/>
      <c r="C76" s="15"/>
      <c r="D76" s="16"/>
      <c r="E76" s="16"/>
      <c r="F76" s="15"/>
      <c r="G76" s="15"/>
      <c r="H76" s="15"/>
      <c r="I76" s="15"/>
      <c r="J76" s="15"/>
      <c r="K76" s="15"/>
      <c r="L76" s="15"/>
      <c r="M76" s="15"/>
      <c r="N76" s="17" t="str">
        <f aca="false">IF(OR(L76="",M76="",J76="",K76=""),"",IF(S76=T76,Y76*V76*IF(F76="Y",2,1),0))</f>
        <v/>
      </c>
      <c r="O76" s="16"/>
      <c r="Q76" s="18" t="n">
        <f aca="false">IF(C76="Group",1,IF(OR(C76="SF",C76="3rd",C76="Final"),3,2))</f>
        <v>2</v>
      </c>
      <c r="R76" s="18" t="n">
        <f aca="false">CHOOSE(Q76,1,1.5,2)</f>
        <v>1.5</v>
      </c>
      <c r="S76" s="18" t="str">
        <f aca="false">IF(J76="","",IF(J76&gt;K76,"H",IF(J76=K76,"D","A")))</f>
        <v/>
      </c>
      <c r="T76" s="18" t="str">
        <f aca="false">IF(L76="","",IF(L76&gt;M76,"H",IF(L76=M76,"D","A")))</f>
        <v/>
      </c>
      <c r="U76" s="19" t="b">
        <f aca="false">AND(L76&lt;&gt;"",J76=L76,K76=M76)</f>
        <v>0</v>
      </c>
      <c r="V76" s="18" t="n">
        <f aca="false">IF(T76="H",G76,IF(T76="D",H76,IF(T76="A",I76,0)))</f>
        <v>0</v>
      </c>
      <c r="W76" s="18" t="str">
        <f aca="false">IF(L76="","",MAX(L76,M76))</f>
        <v/>
      </c>
      <c r="X76" s="18" t="str">
        <f aca="false">IF(L76="","",MIN(L76,M76))</f>
        <v/>
      </c>
      <c r="Y76" s="18" t="str">
        <f aca="false">IF(OR(L76="",M76=""),"",IF(U76,CHOOSE(Q76,INDEX(GRP,X76+1,W76+1),INDEX(KO,X76+1,W76+1),INDEX(FIN,X76+1,W76+1)),R76))</f>
        <v/>
      </c>
    </row>
    <row r="77" customFormat="false" ht="15" hidden="false" customHeight="false" outlineLevel="0" collapsed="false">
      <c r="A77" s="9" t="n">
        <v>75</v>
      </c>
      <c r="B77" s="15"/>
      <c r="C77" s="15"/>
      <c r="D77" s="16"/>
      <c r="E77" s="16"/>
      <c r="F77" s="15"/>
      <c r="G77" s="15"/>
      <c r="H77" s="15"/>
      <c r="I77" s="15"/>
      <c r="J77" s="15"/>
      <c r="K77" s="15"/>
      <c r="L77" s="15"/>
      <c r="M77" s="15"/>
      <c r="N77" s="17" t="str">
        <f aca="false">IF(OR(L77="",M77="",J77="",K77=""),"",IF(S77=T77,Y77*V77*IF(F77="Y",2,1),0))</f>
        <v/>
      </c>
      <c r="O77" s="16"/>
      <c r="Q77" s="18" t="n">
        <f aca="false">IF(C77="Group",1,IF(OR(C77="SF",C77="3rd",C77="Final"),3,2))</f>
        <v>2</v>
      </c>
      <c r="R77" s="18" t="n">
        <f aca="false">CHOOSE(Q77,1,1.5,2)</f>
        <v>1.5</v>
      </c>
      <c r="S77" s="18" t="str">
        <f aca="false">IF(J77="","",IF(J77&gt;K77,"H",IF(J77=K77,"D","A")))</f>
        <v/>
      </c>
      <c r="T77" s="18" t="str">
        <f aca="false">IF(L77="","",IF(L77&gt;M77,"H",IF(L77=M77,"D","A")))</f>
        <v/>
      </c>
      <c r="U77" s="19" t="b">
        <f aca="false">AND(L77&lt;&gt;"",J77=L77,K77=M77)</f>
        <v>0</v>
      </c>
      <c r="V77" s="18" t="n">
        <f aca="false">IF(T77="H",G77,IF(T77="D",H77,IF(T77="A",I77,0)))</f>
        <v>0</v>
      </c>
      <c r="W77" s="18" t="str">
        <f aca="false">IF(L77="","",MAX(L77,M77))</f>
        <v/>
      </c>
      <c r="X77" s="18" t="str">
        <f aca="false">IF(L77="","",MIN(L77,M77))</f>
        <v/>
      </c>
      <c r="Y77" s="18" t="str">
        <f aca="false">IF(OR(L77="",M77=""),"",IF(U77,CHOOSE(Q77,INDEX(GRP,X77+1,W77+1),INDEX(KO,X77+1,W77+1),INDEX(FIN,X77+1,W77+1)),R77))</f>
        <v/>
      </c>
    </row>
    <row r="78" customFormat="false" ht="15" hidden="false" customHeight="false" outlineLevel="0" collapsed="false">
      <c r="A78" s="9" t="n">
        <v>76</v>
      </c>
      <c r="B78" s="15"/>
      <c r="C78" s="15"/>
      <c r="D78" s="16"/>
      <c r="E78" s="16"/>
      <c r="F78" s="15"/>
      <c r="G78" s="15"/>
      <c r="H78" s="15"/>
      <c r="I78" s="15"/>
      <c r="J78" s="15"/>
      <c r="K78" s="15"/>
      <c r="L78" s="15"/>
      <c r="M78" s="15"/>
      <c r="N78" s="17" t="str">
        <f aca="false">IF(OR(L78="",M78="",J78="",K78=""),"",IF(S78=T78,Y78*V78*IF(F78="Y",2,1),0))</f>
        <v/>
      </c>
      <c r="O78" s="16"/>
      <c r="Q78" s="18" t="n">
        <f aca="false">IF(C78="Group",1,IF(OR(C78="SF",C78="3rd",C78="Final"),3,2))</f>
        <v>2</v>
      </c>
      <c r="R78" s="18" t="n">
        <f aca="false">CHOOSE(Q78,1,1.5,2)</f>
        <v>1.5</v>
      </c>
      <c r="S78" s="18" t="str">
        <f aca="false">IF(J78="","",IF(J78&gt;K78,"H",IF(J78=K78,"D","A")))</f>
        <v/>
      </c>
      <c r="T78" s="18" t="str">
        <f aca="false">IF(L78="","",IF(L78&gt;M78,"H",IF(L78=M78,"D","A")))</f>
        <v/>
      </c>
      <c r="U78" s="19" t="b">
        <f aca="false">AND(L78&lt;&gt;"",J78=L78,K78=M78)</f>
        <v>0</v>
      </c>
      <c r="V78" s="18" t="n">
        <f aca="false">IF(T78="H",G78,IF(T78="D",H78,IF(T78="A",I78,0)))</f>
        <v>0</v>
      </c>
      <c r="W78" s="18" t="str">
        <f aca="false">IF(L78="","",MAX(L78,M78))</f>
        <v/>
      </c>
      <c r="X78" s="18" t="str">
        <f aca="false">IF(L78="","",MIN(L78,M78))</f>
        <v/>
      </c>
      <c r="Y78" s="18" t="str">
        <f aca="false">IF(OR(L78="",M78=""),"",IF(U78,CHOOSE(Q78,INDEX(GRP,X78+1,W78+1),INDEX(KO,X78+1,W78+1),INDEX(FIN,X78+1,W78+1)),R78))</f>
        <v/>
      </c>
    </row>
    <row r="79" customFormat="false" ht="15" hidden="false" customHeight="false" outlineLevel="0" collapsed="false">
      <c r="A79" s="9" t="n">
        <v>77</v>
      </c>
      <c r="B79" s="15"/>
      <c r="C79" s="15"/>
      <c r="D79" s="16"/>
      <c r="E79" s="16"/>
      <c r="F79" s="15"/>
      <c r="G79" s="15"/>
      <c r="H79" s="15"/>
      <c r="I79" s="15"/>
      <c r="J79" s="15"/>
      <c r="K79" s="15"/>
      <c r="L79" s="15"/>
      <c r="M79" s="15"/>
      <c r="N79" s="17" t="str">
        <f aca="false">IF(OR(L79="",M79="",J79="",K79=""),"",IF(S79=T79,Y79*V79*IF(F79="Y",2,1),0))</f>
        <v/>
      </c>
      <c r="O79" s="16"/>
      <c r="Q79" s="18" t="n">
        <f aca="false">IF(C79="Group",1,IF(OR(C79="SF",C79="3rd",C79="Final"),3,2))</f>
        <v>2</v>
      </c>
      <c r="R79" s="18" t="n">
        <f aca="false">CHOOSE(Q79,1,1.5,2)</f>
        <v>1.5</v>
      </c>
      <c r="S79" s="18" t="str">
        <f aca="false">IF(J79="","",IF(J79&gt;K79,"H",IF(J79=K79,"D","A")))</f>
        <v/>
      </c>
      <c r="T79" s="18" t="str">
        <f aca="false">IF(L79="","",IF(L79&gt;M79,"H",IF(L79=M79,"D","A")))</f>
        <v/>
      </c>
      <c r="U79" s="19" t="b">
        <f aca="false">AND(L79&lt;&gt;"",J79=L79,K79=M79)</f>
        <v>0</v>
      </c>
      <c r="V79" s="18" t="n">
        <f aca="false">IF(T79="H",G79,IF(T79="D",H79,IF(T79="A",I79,0)))</f>
        <v>0</v>
      </c>
      <c r="W79" s="18" t="str">
        <f aca="false">IF(L79="","",MAX(L79,M79))</f>
        <v/>
      </c>
      <c r="X79" s="18" t="str">
        <f aca="false">IF(L79="","",MIN(L79,M79))</f>
        <v/>
      </c>
      <c r="Y79" s="18" t="str">
        <f aca="false">IF(OR(L79="",M79=""),"",IF(U79,CHOOSE(Q79,INDEX(GRP,X79+1,W79+1),INDEX(KO,X79+1,W79+1),INDEX(FIN,X79+1,W79+1)),R79))</f>
        <v/>
      </c>
    </row>
    <row r="80" customFormat="false" ht="15" hidden="false" customHeight="false" outlineLevel="0" collapsed="false">
      <c r="A80" s="9" t="n">
        <v>78</v>
      </c>
      <c r="B80" s="15"/>
      <c r="C80" s="15"/>
      <c r="D80" s="16"/>
      <c r="E80" s="16"/>
      <c r="F80" s="15"/>
      <c r="G80" s="15"/>
      <c r="H80" s="15"/>
      <c r="I80" s="15"/>
      <c r="J80" s="15"/>
      <c r="K80" s="15"/>
      <c r="L80" s="15"/>
      <c r="M80" s="15"/>
      <c r="N80" s="17" t="str">
        <f aca="false">IF(OR(L80="",M80="",J80="",K80=""),"",IF(S80=T80,Y80*V80*IF(F80="Y",2,1),0))</f>
        <v/>
      </c>
      <c r="O80" s="16"/>
      <c r="Q80" s="18" t="n">
        <f aca="false">IF(C80="Group",1,IF(OR(C80="SF",C80="3rd",C80="Final"),3,2))</f>
        <v>2</v>
      </c>
      <c r="R80" s="18" t="n">
        <f aca="false">CHOOSE(Q80,1,1.5,2)</f>
        <v>1.5</v>
      </c>
      <c r="S80" s="18" t="str">
        <f aca="false">IF(J80="","",IF(J80&gt;K80,"H",IF(J80=K80,"D","A")))</f>
        <v/>
      </c>
      <c r="T80" s="18" t="str">
        <f aca="false">IF(L80="","",IF(L80&gt;M80,"H",IF(L80=M80,"D","A")))</f>
        <v/>
      </c>
      <c r="U80" s="19" t="b">
        <f aca="false">AND(L80&lt;&gt;"",J80=L80,K80=M80)</f>
        <v>0</v>
      </c>
      <c r="V80" s="18" t="n">
        <f aca="false">IF(T80="H",G80,IF(T80="D",H80,IF(T80="A",I80,0)))</f>
        <v>0</v>
      </c>
      <c r="W80" s="18" t="str">
        <f aca="false">IF(L80="","",MAX(L80,M80))</f>
        <v/>
      </c>
      <c r="X80" s="18" t="str">
        <f aca="false">IF(L80="","",MIN(L80,M80))</f>
        <v/>
      </c>
      <c r="Y80" s="18" t="str">
        <f aca="false">IF(OR(L80="",M80=""),"",IF(U80,CHOOSE(Q80,INDEX(GRP,X80+1,W80+1),INDEX(KO,X80+1,W80+1),INDEX(FIN,X80+1,W80+1)),R80))</f>
        <v/>
      </c>
    </row>
    <row r="81" customFormat="false" ht="15" hidden="false" customHeight="false" outlineLevel="0" collapsed="false">
      <c r="A81" s="9" t="n">
        <v>79</v>
      </c>
      <c r="B81" s="15"/>
      <c r="C81" s="15"/>
      <c r="D81" s="16"/>
      <c r="E81" s="16"/>
      <c r="F81" s="15"/>
      <c r="G81" s="15"/>
      <c r="H81" s="15"/>
      <c r="I81" s="15"/>
      <c r="J81" s="15"/>
      <c r="K81" s="15"/>
      <c r="L81" s="15"/>
      <c r="M81" s="15"/>
      <c r="N81" s="17" t="str">
        <f aca="false">IF(OR(L81="",M81="",J81="",K81=""),"",IF(S81=T81,Y81*V81*IF(F81="Y",2,1),0))</f>
        <v/>
      </c>
      <c r="O81" s="16"/>
      <c r="Q81" s="18" t="n">
        <f aca="false">IF(C81="Group",1,IF(OR(C81="SF",C81="3rd",C81="Final"),3,2))</f>
        <v>2</v>
      </c>
      <c r="R81" s="18" t="n">
        <f aca="false">CHOOSE(Q81,1,1.5,2)</f>
        <v>1.5</v>
      </c>
      <c r="S81" s="18" t="str">
        <f aca="false">IF(J81="","",IF(J81&gt;K81,"H",IF(J81=K81,"D","A")))</f>
        <v/>
      </c>
      <c r="T81" s="18" t="str">
        <f aca="false">IF(L81="","",IF(L81&gt;M81,"H",IF(L81=M81,"D","A")))</f>
        <v/>
      </c>
      <c r="U81" s="19" t="b">
        <f aca="false">AND(L81&lt;&gt;"",J81=L81,K81=M81)</f>
        <v>0</v>
      </c>
      <c r="V81" s="18" t="n">
        <f aca="false">IF(T81="H",G81,IF(T81="D",H81,IF(T81="A",I81,0)))</f>
        <v>0</v>
      </c>
      <c r="W81" s="18" t="str">
        <f aca="false">IF(L81="","",MAX(L81,M81))</f>
        <v/>
      </c>
      <c r="X81" s="18" t="str">
        <f aca="false">IF(L81="","",MIN(L81,M81))</f>
        <v/>
      </c>
      <c r="Y81" s="18" t="str">
        <f aca="false">IF(OR(L81="",M81=""),"",IF(U81,CHOOSE(Q81,INDEX(GRP,X81+1,W81+1),INDEX(KO,X81+1,W81+1),INDEX(FIN,X81+1,W81+1)),R81))</f>
        <v/>
      </c>
    </row>
    <row r="82" customFormat="false" ht="15" hidden="false" customHeight="false" outlineLevel="0" collapsed="false">
      <c r="A82" s="9" t="n">
        <v>80</v>
      </c>
      <c r="B82" s="15"/>
      <c r="C82" s="15"/>
      <c r="D82" s="16"/>
      <c r="E82" s="16"/>
      <c r="F82" s="15"/>
      <c r="G82" s="15"/>
      <c r="H82" s="15"/>
      <c r="I82" s="15"/>
      <c r="J82" s="15"/>
      <c r="K82" s="15"/>
      <c r="L82" s="15"/>
      <c r="M82" s="15"/>
      <c r="N82" s="17" t="str">
        <f aca="false">IF(OR(L82="",M82="",J82="",K82=""),"",IF(S82=T82,Y82*V82*IF(F82="Y",2,1),0))</f>
        <v/>
      </c>
      <c r="O82" s="16"/>
      <c r="Q82" s="18" t="n">
        <f aca="false">IF(C82="Group",1,IF(OR(C82="SF",C82="3rd",C82="Final"),3,2))</f>
        <v>2</v>
      </c>
      <c r="R82" s="18" t="n">
        <f aca="false">CHOOSE(Q82,1,1.5,2)</f>
        <v>1.5</v>
      </c>
      <c r="S82" s="18" t="str">
        <f aca="false">IF(J82="","",IF(J82&gt;K82,"H",IF(J82=K82,"D","A")))</f>
        <v/>
      </c>
      <c r="T82" s="18" t="str">
        <f aca="false">IF(L82="","",IF(L82&gt;M82,"H",IF(L82=M82,"D","A")))</f>
        <v/>
      </c>
      <c r="U82" s="19" t="b">
        <f aca="false">AND(L82&lt;&gt;"",J82=L82,K82=M82)</f>
        <v>0</v>
      </c>
      <c r="V82" s="18" t="n">
        <f aca="false">IF(T82="H",G82,IF(T82="D",H82,IF(T82="A",I82,0)))</f>
        <v>0</v>
      </c>
      <c r="W82" s="18" t="str">
        <f aca="false">IF(L82="","",MAX(L82,M82))</f>
        <v/>
      </c>
      <c r="X82" s="18" t="str">
        <f aca="false">IF(L82="","",MIN(L82,M82))</f>
        <v/>
      </c>
      <c r="Y82" s="18" t="str">
        <f aca="false">IF(OR(L82="",M82=""),"",IF(U82,CHOOSE(Q82,INDEX(GRP,X82+1,W82+1),INDEX(KO,X82+1,W82+1),INDEX(FIN,X82+1,W82+1)),R82))</f>
        <v/>
      </c>
    </row>
    <row r="83" customFormat="false" ht="15" hidden="false" customHeight="false" outlineLevel="0" collapsed="false">
      <c r="A83" s="9" t="n">
        <v>81</v>
      </c>
      <c r="B83" s="15"/>
      <c r="C83" s="15"/>
      <c r="D83" s="16"/>
      <c r="E83" s="16"/>
      <c r="F83" s="15"/>
      <c r="G83" s="15"/>
      <c r="H83" s="15"/>
      <c r="I83" s="15"/>
      <c r="J83" s="15"/>
      <c r="K83" s="15"/>
      <c r="L83" s="15"/>
      <c r="M83" s="15"/>
      <c r="N83" s="17" t="str">
        <f aca="false">IF(OR(L83="",M83="",J83="",K83=""),"",IF(S83=T83,Y83*V83*IF(F83="Y",2,1),0))</f>
        <v/>
      </c>
      <c r="O83" s="16"/>
      <c r="Q83" s="18" t="n">
        <f aca="false">IF(C83="Group",1,IF(OR(C83="SF",C83="3rd",C83="Final"),3,2))</f>
        <v>2</v>
      </c>
      <c r="R83" s="18" t="n">
        <f aca="false">CHOOSE(Q83,1,1.5,2)</f>
        <v>1.5</v>
      </c>
      <c r="S83" s="18" t="str">
        <f aca="false">IF(J83="","",IF(J83&gt;K83,"H",IF(J83=K83,"D","A")))</f>
        <v/>
      </c>
      <c r="T83" s="18" t="str">
        <f aca="false">IF(L83="","",IF(L83&gt;M83,"H",IF(L83=M83,"D","A")))</f>
        <v/>
      </c>
      <c r="U83" s="19" t="b">
        <f aca="false">AND(L83&lt;&gt;"",J83=L83,K83=M83)</f>
        <v>0</v>
      </c>
      <c r="V83" s="18" t="n">
        <f aca="false">IF(T83="H",G83,IF(T83="D",H83,IF(T83="A",I83,0)))</f>
        <v>0</v>
      </c>
      <c r="W83" s="18" t="str">
        <f aca="false">IF(L83="","",MAX(L83,M83))</f>
        <v/>
      </c>
      <c r="X83" s="18" t="str">
        <f aca="false">IF(L83="","",MIN(L83,M83))</f>
        <v/>
      </c>
      <c r="Y83" s="18" t="str">
        <f aca="false">IF(OR(L83="",M83=""),"",IF(U83,CHOOSE(Q83,INDEX(GRP,X83+1,W83+1),INDEX(KO,X83+1,W83+1),INDEX(FIN,X83+1,W83+1)),R83))</f>
        <v/>
      </c>
    </row>
    <row r="84" customFormat="false" ht="15" hidden="false" customHeight="false" outlineLevel="0" collapsed="false">
      <c r="A84" s="9" t="n">
        <v>82</v>
      </c>
      <c r="B84" s="15"/>
      <c r="C84" s="15"/>
      <c r="D84" s="16"/>
      <c r="E84" s="16"/>
      <c r="F84" s="15"/>
      <c r="G84" s="15"/>
      <c r="H84" s="15"/>
      <c r="I84" s="15"/>
      <c r="J84" s="15"/>
      <c r="K84" s="15"/>
      <c r="L84" s="15"/>
      <c r="M84" s="15"/>
      <c r="N84" s="17" t="str">
        <f aca="false">IF(OR(L84="",M84="",J84="",K84=""),"",IF(S84=T84,Y84*V84*IF(F84="Y",2,1),0))</f>
        <v/>
      </c>
      <c r="O84" s="16"/>
      <c r="Q84" s="18" t="n">
        <f aca="false">IF(C84="Group",1,IF(OR(C84="SF",C84="3rd",C84="Final"),3,2))</f>
        <v>2</v>
      </c>
      <c r="R84" s="18" t="n">
        <f aca="false">CHOOSE(Q84,1,1.5,2)</f>
        <v>1.5</v>
      </c>
      <c r="S84" s="18" t="str">
        <f aca="false">IF(J84="","",IF(J84&gt;K84,"H",IF(J84=K84,"D","A")))</f>
        <v/>
      </c>
      <c r="T84" s="18" t="str">
        <f aca="false">IF(L84="","",IF(L84&gt;M84,"H",IF(L84=M84,"D","A")))</f>
        <v/>
      </c>
      <c r="U84" s="19" t="b">
        <f aca="false">AND(L84&lt;&gt;"",J84=L84,K84=M84)</f>
        <v>0</v>
      </c>
      <c r="V84" s="18" t="n">
        <f aca="false">IF(T84="H",G84,IF(T84="D",H84,IF(T84="A",I84,0)))</f>
        <v>0</v>
      </c>
      <c r="W84" s="18" t="str">
        <f aca="false">IF(L84="","",MAX(L84,M84))</f>
        <v/>
      </c>
      <c r="X84" s="18" t="str">
        <f aca="false">IF(L84="","",MIN(L84,M84))</f>
        <v/>
      </c>
      <c r="Y84" s="18" t="str">
        <f aca="false">IF(OR(L84="",M84=""),"",IF(U84,CHOOSE(Q84,INDEX(GRP,X84+1,W84+1),INDEX(KO,X84+1,W84+1),INDEX(FIN,X84+1,W84+1)),R84))</f>
        <v/>
      </c>
    </row>
    <row r="85" customFormat="false" ht="15" hidden="false" customHeight="false" outlineLevel="0" collapsed="false">
      <c r="A85" s="9" t="n">
        <v>83</v>
      </c>
      <c r="B85" s="15"/>
      <c r="C85" s="15"/>
      <c r="D85" s="16"/>
      <c r="E85" s="16"/>
      <c r="F85" s="15"/>
      <c r="G85" s="15"/>
      <c r="H85" s="15"/>
      <c r="I85" s="15"/>
      <c r="J85" s="15"/>
      <c r="K85" s="15"/>
      <c r="L85" s="15"/>
      <c r="M85" s="15"/>
      <c r="N85" s="17" t="str">
        <f aca="false">IF(OR(L85="",M85="",J85="",K85=""),"",IF(S85=T85,Y85*V85*IF(F85="Y",2,1),0))</f>
        <v/>
      </c>
      <c r="O85" s="16"/>
      <c r="Q85" s="18" t="n">
        <f aca="false">IF(C85="Group",1,IF(OR(C85="SF",C85="3rd",C85="Final"),3,2))</f>
        <v>2</v>
      </c>
      <c r="R85" s="18" t="n">
        <f aca="false">CHOOSE(Q85,1,1.5,2)</f>
        <v>1.5</v>
      </c>
      <c r="S85" s="18" t="str">
        <f aca="false">IF(J85="","",IF(J85&gt;K85,"H",IF(J85=K85,"D","A")))</f>
        <v/>
      </c>
      <c r="T85" s="18" t="str">
        <f aca="false">IF(L85="","",IF(L85&gt;M85,"H",IF(L85=M85,"D","A")))</f>
        <v/>
      </c>
      <c r="U85" s="19" t="b">
        <f aca="false">AND(L85&lt;&gt;"",J85=L85,K85=M85)</f>
        <v>0</v>
      </c>
      <c r="V85" s="18" t="n">
        <f aca="false">IF(T85="H",G85,IF(T85="D",H85,IF(T85="A",I85,0)))</f>
        <v>0</v>
      </c>
      <c r="W85" s="18" t="str">
        <f aca="false">IF(L85="","",MAX(L85,M85))</f>
        <v/>
      </c>
      <c r="X85" s="18" t="str">
        <f aca="false">IF(L85="","",MIN(L85,M85))</f>
        <v/>
      </c>
      <c r="Y85" s="18" t="str">
        <f aca="false">IF(OR(L85="",M85=""),"",IF(U85,CHOOSE(Q85,INDEX(GRP,X85+1,W85+1),INDEX(KO,X85+1,W85+1),INDEX(FIN,X85+1,W85+1)),R85))</f>
        <v/>
      </c>
    </row>
    <row r="86" customFormat="false" ht="15" hidden="false" customHeight="false" outlineLevel="0" collapsed="false">
      <c r="A86" s="9" t="n">
        <v>84</v>
      </c>
      <c r="B86" s="15"/>
      <c r="C86" s="15"/>
      <c r="D86" s="16"/>
      <c r="E86" s="16"/>
      <c r="F86" s="15"/>
      <c r="G86" s="15"/>
      <c r="H86" s="15"/>
      <c r="I86" s="15"/>
      <c r="J86" s="15"/>
      <c r="K86" s="15"/>
      <c r="L86" s="15"/>
      <c r="M86" s="15"/>
      <c r="N86" s="17" t="str">
        <f aca="false">IF(OR(L86="",M86="",J86="",K86=""),"",IF(S86=T86,Y86*V86*IF(F86="Y",2,1),0))</f>
        <v/>
      </c>
      <c r="O86" s="16"/>
      <c r="Q86" s="18" t="n">
        <f aca="false">IF(C86="Group",1,IF(OR(C86="SF",C86="3rd",C86="Final"),3,2))</f>
        <v>2</v>
      </c>
      <c r="R86" s="18" t="n">
        <f aca="false">CHOOSE(Q86,1,1.5,2)</f>
        <v>1.5</v>
      </c>
      <c r="S86" s="18" t="str">
        <f aca="false">IF(J86="","",IF(J86&gt;K86,"H",IF(J86=K86,"D","A")))</f>
        <v/>
      </c>
      <c r="T86" s="18" t="str">
        <f aca="false">IF(L86="","",IF(L86&gt;M86,"H",IF(L86=M86,"D","A")))</f>
        <v/>
      </c>
      <c r="U86" s="19" t="b">
        <f aca="false">AND(L86&lt;&gt;"",J86=L86,K86=M86)</f>
        <v>0</v>
      </c>
      <c r="V86" s="18" t="n">
        <f aca="false">IF(T86="H",G86,IF(T86="D",H86,IF(T86="A",I86,0)))</f>
        <v>0</v>
      </c>
      <c r="W86" s="18" t="str">
        <f aca="false">IF(L86="","",MAX(L86,M86))</f>
        <v/>
      </c>
      <c r="X86" s="18" t="str">
        <f aca="false">IF(L86="","",MIN(L86,M86))</f>
        <v/>
      </c>
      <c r="Y86" s="18" t="str">
        <f aca="false">IF(OR(L86="",M86=""),"",IF(U86,CHOOSE(Q86,INDEX(GRP,X86+1,W86+1),INDEX(KO,X86+1,W86+1),INDEX(FIN,X86+1,W86+1)),R86))</f>
        <v/>
      </c>
    </row>
    <row r="87" customFormat="false" ht="15" hidden="false" customHeight="false" outlineLevel="0" collapsed="false">
      <c r="A87" s="9" t="n">
        <v>85</v>
      </c>
      <c r="B87" s="15"/>
      <c r="C87" s="15"/>
      <c r="D87" s="16"/>
      <c r="E87" s="16"/>
      <c r="F87" s="15"/>
      <c r="G87" s="15"/>
      <c r="H87" s="15"/>
      <c r="I87" s="15"/>
      <c r="J87" s="15"/>
      <c r="K87" s="15"/>
      <c r="L87" s="15"/>
      <c r="M87" s="15"/>
      <c r="N87" s="17" t="str">
        <f aca="false">IF(OR(L87="",M87="",J87="",K87=""),"",IF(S87=T87,Y87*V87*IF(F87="Y",2,1),0))</f>
        <v/>
      </c>
      <c r="O87" s="16"/>
      <c r="Q87" s="18" t="n">
        <f aca="false">IF(C87="Group",1,IF(OR(C87="SF",C87="3rd",C87="Final"),3,2))</f>
        <v>2</v>
      </c>
      <c r="R87" s="18" t="n">
        <f aca="false">CHOOSE(Q87,1,1.5,2)</f>
        <v>1.5</v>
      </c>
      <c r="S87" s="18" t="str">
        <f aca="false">IF(J87="","",IF(J87&gt;K87,"H",IF(J87=K87,"D","A")))</f>
        <v/>
      </c>
      <c r="T87" s="18" t="str">
        <f aca="false">IF(L87="","",IF(L87&gt;M87,"H",IF(L87=M87,"D","A")))</f>
        <v/>
      </c>
      <c r="U87" s="19" t="b">
        <f aca="false">AND(L87&lt;&gt;"",J87=L87,K87=M87)</f>
        <v>0</v>
      </c>
      <c r="V87" s="18" t="n">
        <f aca="false">IF(T87="H",G87,IF(T87="D",H87,IF(T87="A",I87,0)))</f>
        <v>0</v>
      </c>
      <c r="W87" s="18" t="str">
        <f aca="false">IF(L87="","",MAX(L87,M87))</f>
        <v/>
      </c>
      <c r="X87" s="18" t="str">
        <f aca="false">IF(L87="","",MIN(L87,M87))</f>
        <v/>
      </c>
      <c r="Y87" s="18" t="str">
        <f aca="false">IF(OR(L87="",M87=""),"",IF(U87,CHOOSE(Q87,INDEX(GRP,X87+1,W87+1),INDEX(KO,X87+1,W87+1),INDEX(FIN,X87+1,W87+1)),R87))</f>
        <v/>
      </c>
    </row>
    <row r="88" customFormat="false" ht="15" hidden="false" customHeight="false" outlineLevel="0" collapsed="false">
      <c r="A88" s="9" t="n">
        <v>86</v>
      </c>
      <c r="B88" s="15"/>
      <c r="C88" s="15"/>
      <c r="D88" s="16"/>
      <c r="E88" s="16"/>
      <c r="F88" s="15"/>
      <c r="G88" s="15"/>
      <c r="H88" s="15"/>
      <c r="I88" s="15"/>
      <c r="J88" s="15"/>
      <c r="K88" s="15"/>
      <c r="L88" s="15"/>
      <c r="M88" s="15"/>
      <c r="N88" s="17" t="str">
        <f aca="false">IF(OR(L88="",M88="",J88="",K88=""),"",IF(S88=T88,Y88*V88*IF(F88="Y",2,1),0))</f>
        <v/>
      </c>
      <c r="O88" s="16"/>
      <c r="Q88" s="18" t="n">
        <f aca="false">IF(C88="Group",1,IF(OR(C88="SF",C88="3rd",C88="Final"),3,2))</f>
        <v>2</v>
      </c>
      <c r="R88" s="18" t="n">
        <f aca="false">CHOOSE(Q88,1,1.5,2)</f>
        <v>1.5</v>
      </c>
      <c r="S88" s="18" t="str">
        <f aca="false">IF(J88="","",IF(J88&gt;K88,"H",IF(J88=K88,"D","A")))</f>
        <v/>
      </c>
      <c r="T88" s="18" t="str">
        <f aca="false">IF(L88="","",IF(L88&gt;M88,"H",IF(L88=M88,"D","A")))</f>
        <v/>
      </c>
      <c r="U88" s="19" t="b">
        <f aca="false">AND(L88&lt;&gt;"",J88=L88,K88=M88)</f>
        <v>0</v>
      </c>
      <c r="V88" s="18" t="n">
        <f aca="false">IF(T88="H",G88,IF(T88="D",H88,IF(T88="A",I88,0)))</f>
        <v>0</v>
      </c>
      <c r="W88" s="18" t="str">
        <f aca="false">IF(L88="","",MAX(L88,M88))</f>
        <v/>
      </c>
      <c r="X88" s="18" t="str">
        <f aca="false">IF(L88="","",MIN(L88,M88))</f>
        <v/>
      </c>
      <c r="Y88" s="18" t="str">
        <f aca="false">IF(OR(L88="",M88=""),"",IF(U88,CHOOSE(Q88,INDEX(GRP,X88+1,W88+1),INDEX(KO,X88+1,W88+1),INDEX(FIN,X88+1,W88+1)),R88))</f>
        <v/>
      </c>
    </row>
    <row r="89" customFormat="false" ht="15" hidden="false" customHeight="false" outlineLevel="0" collapsed="false">
      <c r="A89" s="9" t="n">
        <v>87</v>
      </c>
      <c r="B89" s="15"/>
      <c r="C89" s="15"/>
      <c r="D89" s="16"/>
      <c r="E89" s="16"/>
      <c r="F89" s="15"/>
      <c r="G89" s="15"/>
      <c r="H89" s="15"/>
      <c r="I89" s="15"/>
      <c r="J89" s="15"/>
      <c r="K89" s="15"/>
      <c r="L89" s="15"/>
      <c r="M89" s="15"/>
      <c r="N89" s="17" t="str">
        <f aca="false">IF(OR(L89="",M89="",J89="",K89=""),"",IF(S89=T89,Y89*V89*IF(F89="Y",2,1),0))</f>
        <v/>
      </c>
      <c r="O89" s="16"/>
      <c r="Q89" s="18" t="n">
        <f aca="false">IF(C89="Group",1,IF(OR(C89="SF",C89="3rd",C89="Final"),3,2))</f>
        <v>2</v>
      </c>
      <c r="R89" s="18" t="n">
        <f aca="false">CHOOSE(Q89,1,1.5,2)</f>
        <v>1.5</v>
      </c>
      <c r="S89" s="18" t="str">
        <f aca="false">IF(J89="","",IF(J89&gt;K89,"H",IF(J89=K89,"D","A")))</f>
        <v/>
      </c>
      <c r="T89" s="18" t="str">
        <f aca="false">IF(L89="","",IF(L89&gt;M89,"H",IF(L89=M89,"D","A")))</f>
        <v/>
      </c>
      <c r="U89" s="19" t="b">
        <f aca="false">AND(L89&lt;&gt;"",J89=L89,K89=M89)</f>
        <v>0</v>
      </c>
      <c r="V89" s="18" t="n">
        <f aca="false">IF(T89="H",G89,IF(T89="D",H89,IF(T89="A",I89,0)))</f>
        <v>0</v>
      </c>
      <c r="W89" s="18" t="str">
        <f aca="false">IF(L89="","",MAX(L89,M89))</f>
        <v/>
      </c>
      <c r="X89" s="18" t="str">
        <f aca="false">IF(L89="","",MIN(L89,M89))</f>
        <v/>
      </c>
      <c r="Y89" s="18" t="str">
        <f aca="false">IF(OR(L89="",M89=""),"",IF(U89,CHOOSE(Q89,INDEX(GRP,X89+1,W89+1),INDEX(KO,X89+1,W89+1),INDEX(FIN,X89+1,W89+1)),R89))</f>
        <v/>
      </c>
    </row>
    <row r="90" customFormat="false" ht="15" hidden="false" customHeight="false" outlineLevel="0" collapsed="false">
      <c r="A90" s="9" t="n">
        <v>88</v>
      </c>
      <c r="B90" s="15"/>
      <c r="C90" s="15"/>
      <c r="D90" s="16"/>
      <c r="E90" s="16"/>
      <c r="F90" s="15"/>
      <c r="G90" s="15"/>
      <c r="H90" s="15"/>
      <c r="I90" s="15"/>
      <c r="J90" s="15"/>
      <c r="K90" s="15"/>
      <c r="L90" s="15"/>
      <c r="M90" s="15"/>
      <c r="N90" s="17" t="str">
        <f aca="false">IF(OR(L90="",M90="",J90="",K90=""),"",IF(S90=T90,Y90*V90*IF(F90="Y",2,1),0))</f>
        <v/>
      </c>
      <c r="O90" s="16"/>
      <c r="Q90" s="18" t="n">
        <f aca="false">IF(C90="Group",1,IF(OR(C90="SF",C90="3rd",C90="Final"),3,2))</f>
        <v>2</v>
      </c>
      <c r="R90" s="18" t="n">
        <f aca="false">CHOOSE(Q90,1,1.5,2)</f>
        <v>1.5</v>
      </c>
      <c r="S90" s="18" t="str">
        <f aca="false">IF(J90="","",IF(J90&gt;K90,"H",IF(J90=K90,"D","A")))</f>
        <v/>
      </c>
      <c r="T90" s="18" t="str">
        <f aca="false">IF(L90="","",IF(L90&gt;M90,"H",IF(L90=M90,"D","A")))</f>
        <v/>
      </c>
      <c r="U90" s="19" t="b">
        <f aca="false">AND(L90&lt;&gt;"",J90=L90,K90=M90)</f>
        <v>0</v>
      </c>
      <c r="V90" s="18" t="n">
        <f aca="false">IF(T90="H",G90,IF(T90="D",H90,IF(T90="A",I90,0)))</f>
        <v>0</v>
      </c>
      <c r="W90" s="18" t="str">
        <f aca="false">IF(L90="","",MAX(L90,M90))</f>
        <v/>
      </c>
      <c r="X90" s="18" t="str">
        <f aca="false">IF(L90="","",MIN(L90,M90))</f>
        <v/>
      </c>
      <c r="Y90" s="18" t="str">
        <f aca="false">IF(OR(L90="",M90=""),"",IF(U90,CHOOSE(Q90,INDEX(GRP,X90+1,W90+1),INDEX(KO,X90+1,W90+1),INDEX(FIN,X90+1,W90+1)),R90))</f>
        <v/>
      </c>
    </row>
    <row r="91" customFormat="false" ht="15" hidden="false" customHeight="false" outlineLevel="0" collapsed="false">
      <c r="A91" s="9" t="n">
        <v>89</v>
      </c>
      <c r="B91" s="15"/>
      <c r="C91" s="15"/>
      <c r="D91" s="16"/>
      <c r="E91" s="16"/>
      <c r="F91" s="15"/>
      <c r="G91" s="15"/>
      <c r="H91" s="15"/>
      <c r="I91" s="15"/>
      <c r="J91" s="15"/>
      <c r="K91" s="15"/>
      <c r="L91" s="15"/>
      <c r="M91" s="15"/>
      <c r="N91" s="17" t="str">
        <f aca="false">IF(OR(L91="",M91="",J91="",K91=""),"",IF(S91=T91,Y91*V91*IF(F91="Y",2,1),0))</f>
        <v/>
      </c>
      <c r="O91" s="16"/>
      <c r="Q91" s="18" t="n">
        <f aca="false">IF(C91="Group",1,IF(OR(C91="SF",C91="3rd",C91="Final"),3,2))</f>
        <v>2</v>
      </c>
      <c r="R91" s="18" t="n">
        <f aca="false">CHOOSE(Q91,1,1.5,2)</f>
        <v>1.5</v>
      </c>
      <c r="S91" s="18" t="str">
        <f aca="false">IF(J91="","",IF(J91&gt;K91,"H",IF(J91=K91,"D","A")))</f>
        <v/>
      </c>
      <c r="T91" s="18" t="str">
        <f aca="false">IF(L91="","",IF(L91&gt;M91,"H",IF(L91=M91,"D","A")))</f>
        <v/>
      </c>
      <c r="U91" s="19" t="b">
        <f aca="false">AND(L91&lt;&gt;"",J91=L91,K91=M91)</f>
        <v>0</v>
      </c>
      <c r="V91" s="18" t="n">
        <f aca="false">IF(T91="H",G91,IF(T91="D",H91,IF(T91="A",I91,0)))</f>
        <v>0</v>
      </c>
      <c r="W91" s="18" t="str">
        <f aca="false">IF(L91="","",MAX(L91,M91))</f>
        <v/>
      </c>
      <c r="X91" s="18" t="str">
        <f aca="false">IF(L91="","",MIN(L91,M91))</f>
        <v/>
      </c>
      <c r="Y91" s="18" t="str">
        <f aca="false">IF(OR(L91="",M91=""),"",IF(U91,CHOOSE(Q91,INDEX(GRP,X91+1,W91+1),INDEX(KO,X91+1,W91+1),INDEX(FIN,X91+1,W91+1)),R91))</f>
        <v/>
      </c>
    </row>
    <row r="92" customFormat="false" ht="15" hidden="false" customHeight="false" outlineLevel="0" collapsed="false">
      <c r="A92" s="9" t="n">
        <v>90</v>
      </c>
      <c r="B92" s="15"/>
      <c r="C92" s="15"/>
      <c r="D92" s="16"/>
      <c r="E92" s="16"/>
      <c r="F92" s="15"/>
      <c r="G92" s="15"/>
      <c r="H92" s="15"/>
      <c r="I92" s="15"/>
      <c r="J92" s="15"/>
      <c r="K92" s="15"/>
      <c r="L92" s="15"/>
      <c r="M92" s="15"/>
      <c r="N92" s="17" t="str">
        <f aca="false">IF(OR(L92="",M92="",J92="",K92=""),"",IF(S92=T92,Y92*V92*IF(F92="Y",2,1),0))</f>
        <v/>
      </c>
      <c r="O92" s="16"/>
      <c r="Q92" s="18" t="n">
        <f aca="false">IF(C92="Group",1,IF(OR(C92="SF",C92="3rd",C92="Final"),3,2))</f>
        <v>2</v>
      </c>
      <c r="R92" s="18" t="n">
        <f aca="false">CHOOSE(Q92,1,1.5,2)</f>
        <v>1.5</v>
      </c>
      <c r="S92" s="18" t="str">
        <f aca="false">IF(J92="","",IF(J92&gt;K92,"H",IF(J92=K92,"D","A")))</f>
        <v/>
      </c>
      <c r="T92" s="18" t="str">
        <f aca="false">IF(L92="","",IF(L92&gt;M92,"H",IF(L92=M92,"D","A")))</f>
        <v/>
      </c>
      <c r="U92" s="19" t="b">
        <f aca="false">AND(L92&lt;&gt;"",J92=L92,K92=M92)</f>
        <v>0</v>
      </c>
      <c r="V92" s="18" t="n">
        <f aca="false">IF(T92="H",G92,IF(T92="D",H92,IF(T92="A",I92,0)))</f>
        <v>0</v>
      </c>
      <c r="W92" s="18" t="str">
        <f aca="false">IF(L92="","",MAX(L92,M92))</f>
        <v/>
      </c>
      <c r="X92" s="18" t="str">
        <f aca="false">IF(L92="","",MIN(L92,M92))</f>
        <v/>
      </c>
      <c r="Y92" s="18" t="str">
        <f aca="false">IF(OR(L92="",M92=""),"",IF(U92,CHOOSE(Q92,INDEX(GRP,X92+1,W92+1),INDEX(KO,X92+1,W92+1),INDEX(FIN,X92+1,W92+1)),R92))</f>
        <v/>
      </c>
    </row>
    <row r="93" customFormat="false" ht="15" hidden="false" customHeight="false" outlineLevel="0" collapsed="false">
      <c r="A93" s="9" t="n">
        <v>91</v>
      </c>
      <c r="B93" s="15"/>
      <c r="C93" s="15"/>
      <c r="D93" s="16"/>
      <c r="E93" s="16"/>
      <c r="F93" s="15"/>
      <c r="G93" s="15"/>
      <c r="H93" s="15"/>
      <c r="I93" s="15"/>
      <c r="J93" s="15"/>
      <c r="K93" s="15"/>
      <c r="L93" s="15"/>
      <c r="M93" s="15"/>
      <c r="N93" s="17" t="str">
        <f aca="false">IF(OR(L93="",M93="",J93="",K93=""),"",IF(S93=T93,Y93*V93*IF(F93="Y",2,1),0))</f>
        <v/>
      </c>
      <c r="O93" s="16"/>
      <c r="Q93" s="18" t="n">
        <f aca="false">IF(C93="Group",1,IF(OR(C93="SF",C93="3rd",C93="Final"),3,2))</f>
        <v>2</v>
      </c>
      <c r="R93" s="18" t="n">
        <f aca="false">CHOOSE(Q93,1,1.5,2)</f>
        <v>1.5</v>
      </c>
      <c r="S93" s="18" t="str">
        <f aca="false">IF(J93="","",IF(J93&gt;K93,"H",IF(J93=K93,"D","A")))</f>
        <v/>
      </c>
      <c r="T93" s="18" t="str">
        <f aca="false">IF(L93="","",IF(L93&gt;M93,"H",IF(L93=M93,"D","A")))</f>
        <v/>
      </c>
      <c r="U93" s="19" t="b">
        <f aca="false">AND(L93&lt;&gt;"",J93=L93,K93=M93)</f>
        <v>0</v>
      </c>
      <c r="V93" s="18" t="n">
        <f aca="false">IF(T93="H",G93,IF(T93="D",H93,IF(T93="A",I93,0)))</f>
        <v>0</v>
      </c>
      <c r="W93" s="18" t="str">
        <f aca="false">IF(L93="","",MAX(L93,M93))</f>
        <v/>
      </c>
      <c r="X93" s="18" t="str">
        <f aca="false">IF(L93="","",MIN(L93,M93))</f>
        <v/>
      </c>
      <c r="Y93" s="18" t="str">
        <f aca="false">IF(OR(L93="",M93=""),"",IF(U93,CHOOSE(Q93,INDEX(GRP,X93+1,W93+1),INDEX(KO,X93+1,W93+1),INDEX(FIN,X93+1,W93+1)),R93))</f>
        <v/>
      </c>
    </row>
    <row r="94" customFormat="false" ht="15" hidden="false" customHeight="false" outlineLevel="0" collapsed="false">
      <c r="A94" s="9" t="n">
        <v>92</v>
      </c>
      <c r="B94" s="15"/>
      <c r="C94" s="15"/>
      <c r="D94" s="16"/>
      <c r="E94" s="16"/>
      <c r="F94" s="15"/>
      <c r="G94" s="15"/>
      <c r="H94" s="15"/>
      <c r="I94" s="15"/>
      <c r="J94" s="15"/>
      <c r="K94" s="15"/>
      <c r="L94" s="15"/>
      <c r="M94" s="15"/>
      <c r="N94" s="17" t="str">
        <f aca="false">IF(OR(L94="",M94="",J94="",K94=""),"",IF(S94=T94,Y94*V94*IF(F94="Y",2,1),0))</f>
        <v/>
      </c>
      <c r="O94" s="16"/>
      <c r="Q94" s="18" t="n">
        <f aca="false">IF(C94="Group",1,IF(OR(C94="SF",C94="3rd",C94="Final"),3,2))</f>
        <v>2</v>
      </c>
      <c r="R94" s="18" t="n">
        <f aca="false">CHOOSE(Q94,1,1.5,2)</f>
        <v>1.5</v>
      </c>
      <c r="S94" s="18" t="str">
        <f aca="false">IF(J94="","",IF(J94&gt;K94,"H",IF(J94=K94,"D","A")))</f>
        <v/>
      </c>
      <c r="T94" s="18" t="str">
        <f aca="false">IF(L94="","",IF(L94&gt;M94,"H",IF(L94=M94,"D","A")))</f>
        <v/>
      </c>
      <c r="U94" s="19" t="b">
        <f aca="false">AND(L94&lt;&gt;"",J94=L94,K94=M94)</f>
        <v>0</v>
      </c>
      <c r="V94" s="18" t="n">
        <f aca="false">IF(T94="H",G94,IF(T94="D",H94,IF(T94="A",I94,0)))</f>
        <v>0</v>
      </c>
      <c r="W94" s="18" t="str">
        <f aca="false">IF(L94="","",MAX(L94,M94))</f>
        <v/>
      </c>
      <c r="X94" s="18" t="str">
        <f aca="false">IF(L94="","",MIN(L94,M94))</f>
        <v/>
      </c>
      <c r="Y94" s="18" t="str">
        <f aca="false">IF(OR(L94="",M94=""),"",IF(U94,CHOOSE(Q94,INDEX(GRP,X94+1,W94+1),INDEX(KO,X94+1,W94+1),INDEX(FIN,X94+1,W94+1)),R94))</f>
        <v/>
      </c>
    </row>
    <row r="95" customFormat="false" ht="15" hidden="false" customHeight="false" outlineLevel="0" collapsed="false">
      <c r="A95" s="9" t="n">
        <v>93</v>
      </c>
      <c r="B95" s="15"/>
      <c r="C95" s="15"/>
      <c r="D95" s="16"/>
      <c r="E95" s="16"/>
      <c r="F95" s="15"/>
      <c r="G95" s="15"/>
      <c r="H95" s="15"/>
      <c r="I95" s="15"/>
      <c r="J95" s="15"/>
      <c r="K95" s="15"/>
      <c r="L95" s="15"/>
      <c r="M95" s="15"/>
      <c r="N95" s="17" t="str">
        <f aca="false">IF(OR(L95="",M95="",J95="",K95=""),"",IF(S95=T95,Y95*V95*IF(F95="Y",2,1),0))</f>
        <v/>
      </c>
      <c r="O95" s="16"/>
      <c r="Q95" s="18" t="n">
        <f aca="false">IF(C95="Group",1,IF(OR(C95="SF",C95="3rd",C95="Final"),3,2))</f>
        <v>2</v>
      </c>
      <c r="R95" s="18" t="n">
        <f aca="false">CHOOSE(Q95,1,1.5,2)</f>
        <v>1.5</v>
      </c>
      <c r="S95" s="18" t="str">
        <f aca="false">IF(J95="","",IF(J95&gt;K95,"H",IF(J95=K95,"D","A")))</f>
        <v/>
      </c>
      <c r="T95" s="18" t="str">
        <f aca="false">IF(L95="","",IF(L95&gt;M95,"H",IF(L95=M95,"D","A")))</f>
        <v/>
      </c>
      <c r="U95" s="19" t="b">
        <f aca="false">AND(L95&lt;&gt;"",J95=L95,K95=M95)</f>
        <v>0</v>
      </c>
      <c r="V95" s="18" t="n">
        <f aca="false">IF(T95="H",G95,IF(T95="D",H95,IF(T95="A",I95,0)))</f>
        <v>0</v>
      </c>
      <c r="W95" s="18" t="str">
        <f aca="false">IF(L95="","",MAX(L95,M95))</f>
        <v/>
      </c>
      <c r="X95" s="18" t="str">
        <f aca="false">IF(L95="","",MIN(L95,M95))</f>
        <v/>
      </c>
      <c r="Y95" s="18" t="str">
        <f aca="false">IF(OR(L95="",M95=""),"",IF(U95,CHOOSE(Q95,INDEX(GRP,X95+1,W95+1),INDEX(KO,X95+1,W95+1),INDEX(FIN,X95+1,W95+1)),R95))</f>
        <v/>
      </c>
    </row>
    <row r="96" customFormat="false" ht="15" hidden="false" customHeight="false" outlineLevel="0" collapsed="false">
      <c r="A96" s="9" t="n">
        <v>94</v>
      </c>
      <c r="B96" s="15"/>
      <c r="C96" s="15"/>
      <c r="D96" s="16"/>
      <c r="E96" s="16"/>
      <c r="F96" s="15"/>
      <c r="G96" s="15"/>
      <c r="H96" s="15"/>
      <c r="I96" s="15"/>
      <c r="J96" s="15"/>
      <c r="K96" s="15"/>
      <c r="L96" s="15"/>
      <c r="M96" s="15"/>
      <c r="N96" s="17" t="str">
        <f aca="false">IF(OR(L96="",M96="",J96="",K96=""),"",IF(S96=T96,Y96*V96*IF(F96="Y",2,1),0))</f>
        <v/>
      </c>
      <c r="O96" s="16"/>
      <c r="Q96" s="18" t="n">
        <f aca="false">IF(C96="Group",1,IF(OR(C96="SF",C96="3rd",C96="Final"),3,2))</f>
        <v>2</v>
      </c>
      <c r="R96" s="18" t="n">
        <f aca="false">CHOOSE(Q96,1,1.5,2)</f>
        <v>1.5</v>
      </c>
      <c r="S96" s="18" t="str">
        <f aca="false">IF(J96="","",IF(J96&gt;K96,"H",IF(J96=K96,"D","A")))</f>
        <v/>
      </c>
      <c r="T96" s="18" t="str">
        <f aca="false">IF(L96="","",IF(L96&gt;M96,"H",IF(L96=M96,"D","A")))</f>
        <v/>
      </c>
      <c r="U96" s="19" t="b">
        <f aca="false">AND(L96&lt;&gt;"",J96=L96,K96=M96)</f>
        <v>0</v>
      </c>
      <c r="V96" s="18" t="n">
        <f aca="false">IF(T96="H",G96,IF(T96="D",H96,IF(T96="A",I96,0)))</f>
        <v>0</v>
      </c>
      <c r="W96" s="18" t="str">
        <f aca="false">IF(L96="","",MAX(L96,M96))</f>
        <v/>
      </c>
      <c r="X96" s="18" t="str">
        <f aca="false">IF(L96="","",MIN(L96,M96))</f>
        <v/>
      </c>
      <c r="Y96" s="18" t="str">
        <f aca="false">IF(OR(L96="",M96=""),"",IF(U96,CHOOSE(Q96,INDEX(GRP,X96+1,W96+1),INDEX(KO,X96+1,W96+1),INDEX(FIN,X96+1,W96+1)),R96))</f>
        <v/>
      </c>
    </row>
    <row r="97" customFormat="false" ht="15" hidden="false" customHeight="false" outlineLevel="0" collapsed="false">
      <c r="A97" s="9" t="n">
        <v>95</v>
      </c>
      <c r="B97" s="15"/>
      <c r="C97" s="15"/>
      <c r="D97" s="16"/>
      <c r="E97" s="16"/>
      <c r="F97" s="15"/>
      <c r="G97" s="15"/>
      <c r="H97" s="15"/>
      <c r="I97" s="15"/>
      <c r="J97" s="15"/>
      <c r="K97" s="15"/>
      <c r="L97" s="15"/>
      <c r="M97" s="15"/>
      <c r="N97" s="17" t="str">
        <f aca="false">IF(OR(L97="",M97="",J97="",K97=""),"",IF(S97=T97,Y97*V97*IF(F97="Y",2,1),0))</f>
        <v/>
      </c>
      <c r="O97" s="16"/>
      <c r="Q97" s="18" t="n">
        <f aca="false">IF(C97="Group",1,IF(OR(C97="SF",C97="3rd",C97="Final"),3,2))</f>
        <v>2</v>
      </c>
      <c r="R97" s="18" t="n">
        <f aca="false">CHOOSE(Q97,1,1.5,2)</f>
        <v>1.5</v>
      </c>
      <c r="S97" s="18" t="str">
        <f aca="false">IF(J97="","",IF(J97&gt;K97,"H",IF(J97=K97,"D","A")))</f>
        <v/>
      </c>
      <c r="T97" s="18" t="str">
        <f aca="false">IF(L97="","",IF(L97&gt;M97,"H",IF(L97=M97,"D","A")))</f>
        <v/>
      </c>
      <c r="U97" s="19" t="b">
        <f aca="false">AND(L97&lt;&gt;"",J97=L97,K97=M97)</f>
        <v>0</v>
      </c>
      <c r="V97" s="18" t="n">
        <f aca="false">IF(T97="H",G97,IF(T97="D",H97,IF(T97="A",I97,0)))</f>
        <v>0</v>
      </c>
      <c r="W97" s="18" t="str">
        <f aca="false">IF(L97="","",MAX(L97,M97))</f>
        <v/>
      </c>
      <c r="X97" s="18" t="str">
        <f aca="false">IF(L97="","",MIN(L97,M97))</f>
        <v/>
      </c>
      <c r="Y97" s="18" t="str">
        <f aca="false">IF(OR(L97="",M97=""),"",IF(U97,CHOOSE(Q97,INDEX(GRP,X97+1,W97+1),INDEX(KO,X97+1,W97+1),INDEX(FIN,X97+1,W97+1)),R97))</f>
        <v/>
      </c>
    </row>
    <row r="98" customFormat="false" ht="15" hidden="false" customHeight="false" outlineLevel="0" collapsed="false">
      <c r="A98" s="9" t="n">
        <v>96</v>
      </c>
      <c r="B98" s="15"/>
      <c r="C98" s="15"/>
      <c r="D98" s="16"/>
      <c r="E98" s="16"/>
      <c r="F98" s="15"/>
      <c r="G98" s="15"/>
      <c r="H98" s="15"/>
      <c r="I98" s="15"/>
      <c r="J98" s="15"/>
      <c r="K98" s="15"/>
      <c r="L98" s="15"/>
      <c r="M98" s="15"/>
      <c r="N98" s="17" t="str">
        <f aca="false">IF(OR(L98="",M98="",J98="",K98=""),"",IF(S98=T98,Y98*V98*IF(F98="Y",2,1),0))</f>
        <v/>
      </c>
      <c r="O98" s="16"/>
      <c r="Q98" s="18" t="n">
        <f aca="false">IF(C98="Group",1,IF(OR(C98="SF",C98="3rd",C98="Final"),3,2))</f>
        <v>2</v>
      </c>
      <c r="R98" s="18" t="n">
        <f aca="false">CHOOSE(Q98,1,1.5,2)</f>
        <v>1.5</v>
      </c>
      <c r="S98" s="18" t="str">
        <f aca="false">IF(J98="","",IF(J98&gt;K98,"H",IF(J98=K98,"D","A")))</f>
        <v/>
      </c>
      <c r="T98" s="18" t="str">
        <f aca="false">IF(L98="","",IF(L98&gt;M98,"H",IF(L98=M98,"D","A")))</f>
        <v/>
      </c>
      <c r="U98" s="19" t="b">
        <f aca="false">AND(L98&lt;&gt;"",J98=L98,K98=M98)</f>
        <v>0</v>
      </c>
      <c r="V98" s="18" t="n">
        <f aca="false">IF(T98="H",G98,IF(T98="D",H98,IF(T98="A",I98,0)))</f>
        <v>0</v>
      </c>
      <c r="W98" s="18" t="str">
        <f aca="false">IF(L98="","",MAX(L98,M98))</f>
        <v/>
      </c>
      <c r="X98" s="18" t="str">
        <f aca="false">IF(L98="","",MIN(L98,M98))</f>
        <v/>
      </c>
      <c r="Y98" s="18" t="str">
        <f aca="false">IF(OR(L98="",M98=""),"",IF(U98,CHOOSE(Q98,INDEX(GRP,X98+1,W98+1),INDEX(KO,X98+1,W98+1),INDEX(FIN,X98+1,W98+1)),R98))</f>
        <v/>
      </c>
    </row>
    <row r="99" customFormat="false" ht="15" hidden="false" customHeight="false" outlineLevel="0" collapsed="false">
      <c r="A99" s="9" t="n">
        <v>97</v>
      </c>
      <c r="B99" s="15"/>
      <c r="C99" s="15"/>
      <c r="D99" s="16"/>
      <c r="E99" s="16"/>
      <c r="F99" s="15"/>
      <c r="G99" s="15"/>
      <c r="H99" s="15"/>
      <c r="I99" s="15"/>
      <c r="J99" s="15"/>
      <c r="K99" s="15"/>
      <c r="L99" s="15"/>
      <c r="M99" s="15"/>
      <c r="N99" s="17" t="str">
        <f aca="false">IF(OR(L99="",M99="",J99="",K99=""),"",IF(S99=T99,Y99*V99*IF(F99="Y",2,1),0))</f>
        <v/>
      </c>
      <c r="O99" s="16"/>
      <c r="Q99" s="18" t="n">
        <f aca="false">IF(C99="Group",1,IF(OR(C99="SF",C99="3rd",C99="Final"),3,2))</f>
        <v>2</v>
      </c>
      <c r="R99" s="18" t="n">
        <f aca="false">CHOOSE(Q99,1,1.5,2)</f>
        <v>1.5</v>
      </c>
      <c r="S99" s="18" t="str">
        <f aca="false">IF(J99="","",IF(J99&gt;K99,"H",IF(J99=K99,"D","A")))</f>
        <v/>
      </c>
      <c r="T99" s="18" t="str">
        <f aca="false">IF(L99="","",IF(L99&gt;M99,"H",IF(L99=M99,"D","A")))</f>
        <v/>
      </c>
      <c r="U99" s="19" t="b">
        <f aca="false">AND(L99&lt;&gt;"",J99=L99,K99=M99)</f>
        <v>0</v>
      </c>
      <c r="V99" s="18" t="n">
        <f aca="false">IF(T99="H",G99,IF(T99="D",H99,IF(T99="A",I99,0)))</f>
        <v>0</v>
      </c>
      <c r="W99" s="18" t="str">
        <f aca="false">IF(L99="","",MAX(L99,M99))</f>
        <v/>
      </c>
      <c r="X99" s="18" t="str">
        <f aca="false">IF(L99="","",MIN(L99,M99))</f>
        <v/>
      </c>
      <c r="Y99" s="18" t="str">
        <f aca="false">IF(OR(L99="",M99=""),"",IF(U99,CHOOSE(Q99,INDEX(GRP,X99+1,W99+1),INDEX(KO,X99+1,W99+1),INDEX(FIN,X99+1,W99+1)),R99))</f>
        <v/>
      </c>
    </row>
    <row r="100" customFormat="false" ht="15" hidden="false" customHeight="false" outlineLevel="0" collapsed="false">
      <c r="A100" s="9" t="n">
        <v>98</v>
      </c>
      <c r="B100" s="15"/>
      <c r="C100" s="15"/>
      <c r="D100" s="16"/>
      <c r="E100" s="16"/>
      <c r="F100" s="15"/>
      <c r="G100" s="15"/>
      <c r="H100" s="15"/>
      <c r="I100" s="15"/>
      <c r="J100" s="15"/>
      <c r="K100" s="15"/>
      <c r="L100" s="15"/>
      <c r="M100" s="15"/>
      <c r="N100" s="17" t="str">
        <f aca="false">IF(OR(L100="",M100="",J100="",K100=""),"",IF(S100=T100,Y100*V100*IF(F100="Y",2,1),0))</f>
        <v/>
      </c>
      <c r="O100" s="16"/>
      <c r="Q100" s="18" t="n">
        <f aca="false">IF(C100="Group",1,IF(OR(C100="SF",C100="3rd",C100="Final"),3,2))</f>
        <v>2</v>
      </c>
      <c r="R100" s="18" t="n">
        <f aca="false">CHOOSE(Q100,1,1.5,2)</f>
        <v>1.5</v>
      </c>
      <c r="S100" s="18" t="str">
        <f aca="false">IF(J100="","",IF(J100&gt;K100,"H",IF(J100=K100,"D","A")))</f>
        <v/>
      </c>
      <c r="T100" s="18" t="str">
        <f aca="false">IF(L100="","",IF(L100&gt;M100,"H",IF(L100=M100,"D","A")))</f>
        <v/>
      </c>
      <c r="U100" s="19" t="b">
        <f aca="false">AND(L100&lt;&gt;"",J100=L100,K100=M100)</f>
        <v>0</v>
      </c>
      <c r="V100" s="18" t="n">
        <f aca="false">IF(T100="H",G100,IF(T100="D",H100,IF(T100="A",I100,0)))</f>
        <v>0</v>
      </c>
      <c r="W100" s="18" t="str">
        <f aca="false">IF(L100="","",MAX(L100,M100))</f>
        <v/>
      </c>
      <c r="X100" s="18" t="str">
        <f aca="false">IF(L100="","",MIN(L100,M100))</f>
        <v/>
      </c>
      <c r="Y100" s="18" t="str">
        <f aca="false">IF(OR(L100="",M100=""),"",IF(U100,CHOOSE(Q100,INDEX(GRP,X100+1,W100+1),INDEX(KO,X100+1,W100+1),INDEX(FIN,X100+1,W100+1)),R100))</f>
        <v/>
      </c>
    </row>
    <row r="101" customFormat="false" ht="15" hidden="false" customHeight="false" outlineLevel="0" collapsed="false">
      <c r="A101" s="9" t="n">
        <v>99</v>
      </c>
      <c r="B101" s="15"/>
      <c r="C101" s="15"/>
      <c r="D101" s="16"/>
      <c r="E101" s="16"/>
      <c r="F101" s="15"/>
      <c r="G101" s="15"/>
      <c r="H101" s="15"/>
      <c r="I101" s="15"/>
      <c r="J101" s="15"/>
      <c r="K101" s="15"/>
      <c r="L101" s="15"/>
      <c r="M101" s="15"/>
      <c r="N101" s="17" t="str">
        <f aca="false">IF(OR(L101="",M101="",J101="",K101=""),"",IF(S101=T101,Y101*V101*IF(F101="Y",2,1),0))</f>
        <v/>
      </c>
      <c r="O101" s="16"/>
      <c r="Q101" s="18" t="n">
        <f aca="false">IF(C101="Group",1,IF(OR(C101="SF",C101="3rd",C101="Final"),3,2))</f>
        <v>2</v>
      </c>
      <c r="R101" s="18" t="n">
        <f aca="false">CHOOSE(Q101,1,1.5,2)</f>
        <v>1.5</v>
      </c>
      <c r="S101" s="18" t="str">
        <f aca="false">IF(J101="","",IF(J101&gt;K101,"H",IF(J101=K101,"D","A")))</f>
        <v/>
      </c>
      <c r="T101" s="18" t="str">
        <f aca="false">IF(L101="","",IF(L101&gt;M101,"H",IF(L101=M101,"D","A")))</f>
        <v/>
      </c>
      <c r="U101" s="19" t="b">
        <f aca="false">AND(L101&lt;&gt;"",J101=L101,K101=M101)</f>
        <v>0</v>
      </c>
      <c r="V101" s="18" t="n">
        <f aca="false">IF(T101="H",G101,IF(T101="D",H101,IF(T101="A",I101,0)))</f>
        <v>0</v>
      </c>
      <c r="W101" s="18" t="str">
        <f aca="false">IF(L101="","",MAX(L101,M101))</f>
        <v/>
      </c>
      <c r="X101" s="18" t="str">
        <f aca="false">IF(L101="","",MIN(L101,M101))</f>
        <v/>
      </c>
      <c r="Y101" s="18" t="str">
        <f aca="false">IF(OR(L101="",M101=""),"",IF(U101,CHOOSE(Q101,INDEX(GRP,X101+1,W101+1),INDEX(KO,X101+1,W101+1),INDEX(FIN,X101+1,W101+1)),R101))</f>
        <v/>
      </c>
    </row>
    <row r="102" customFormat="false" ht="15" hidden="false" customHeight="false" outlineLevel="0" collapsed="false">
      <c r="A102" s="9" t="n">
        <v>100</v>
      </c>
      <c r="B102" s="15"/>
      <c r="C102" s="15"/>
      <c r="D102" s="16"/>
      <c r="E102" s="16"/>
      <c r="F102" s="15"/>
      <c r="G102" s="15"/>
      <c r="H102" s="15"/>
      <c r="I102" s="15"/>
      <c r="J102" s="15"/>
      <c r="K102" s="15"/>
      <c r="L102" s="15"/>
      <c r="M102" s="15"/>
      <c r="N102" s="17" t="str">
        <f aca="false">IF(OR(L102="",M102="",J102="",K102=""),"",IF(S102=T102,Y102*V102*IF(F102="Y",2,1),0))</f>
        <v/>
      </c>
      <c r="O102" s="16"/>
      <c r="Q102" s="18" t="n">
        <f aca="false">IF(C102="Group",1,IF(OR(C102="SF",C102="3rd",C102="Final"),3,2))</f>
        <v>2</v>
      </c>
      <c r="R102" s="18" t="n">
        <f aca="false">CHOOSE(Q102,1,1.5,2)</f>
        <v>1.5</v>
      </c>
      <c r="S102" s="18" t="str">
        <f aca="false">IF(J102="","",IF(J102&gt;K102,"H",IF(J102=K102,"D","A")))</f>
        <v/>
      </c>
      <c r="T102" s="18" t="str">
        <f aca="false">IF(L102="","",IF(L102&gt;M102,"H",IF(L102=M102,"D","A")))</f>
        <v/>
      </c>
      <c r="U102" s="19" t="b">
        <f aca="false">AND(L102&lt;&gt;"",J102=L102,K102=M102)</f>
        <v>0</v>
      </c>
      <c r="V102" s="18" t="n">
        <f aca="false">IF(T102="H",G102,IF(T102="D",H102,IF(T102="A",I102,0)))</f>
        <v>0</v>
      </c>
      <c r="W102" s="18" t="str">
        <f aca="false">IF(L102="","",MAX(L102,M102))</f>
        <v/>
      </c>
      <c r="X102" s="18" t="str">
        <f aca="false">IF(L102="","",MIN(L102,M102))</f>
        <v/>
      </c>
      <c r="Y102" s="18" t="str">
        <f aca="false">IF(OR(L102="",M102=""),"",IF(U102,CHOOSE(Q102,INDEX(GRP,X102+1,W102+1),INDEX(KO,X102+1,W102+1),INDEX(FIN,X102+1,W102+1)),R102))</f>
        <v/>
      </c>
    </row>
    <row r="103" customFormat="false" ht="15" hidden="false" customHeight="false" outlineLevel="0" collapsed="false">
      <c r="A103" s="9" t="n">
        <v>101</v>
      </c>
      <c r="B103" s="15"/>
      <c r="C103" s="15"/>
      <c r="D103" s="16"/>
      <c r="E103" s="16"/>
      <c r="F103" s="15"/>
      <c r="G103" s="15"/>
      <c r="H103" s="15"/>
      <c r="I103" s="15"/>
      <c r="J103" s="15"/>
      <c r="K103" s="15"/>
      <c r="L103" s="15"/>
      <c r="M103" s="15"/>
      <c r="N103" s="17" t="str">
        <f aca="false">IF(OR(L103="",M103="",J103="",K103=""),"",IF(S103=T103,Y103*V103*IF(F103="Y",2,1),0))</f>
        <v/>
      </c>
      <c r="O103" s="16"/>
      <c r="Q103" s="18" t="n">
        <f aca="false">IF(C103="Group",1,IF(OR(C103="SF",C103="3rd",C103="Final"),3,2))</f>
        <v>2</v>
      </c>
      <c r="R103" s="18" t="n">
        <f aca="false">CHOOSE(Q103,1,1.5,2)</f>
        <v>1.5</v>
      </c>
      <c r="S103" s="18" t="str">
        <f aca="false">IF(J103="","",IF(J103&gt;K103,"H",IF(J103=K103,"D","A")))</f>
        <v/>
      </c>
      <c r="T103" s="18" t="str">
        <f aca="false">IF(L103="","",IF(L103&gt;M103,"H",IF(L103=M103,"D","A")))</f>
        <v/>
      </c>
      <c r="U103" s="19" t="b">
        <f aca="false">AND(L103&lt;&gt;"",J103=L103,K103=M103)</f>
        <v>0</v>
      </c>
      <c r="V103" s="18" t="n">
        <f aca="false">IF(T103="H",G103,IF(T103="D",H103,IF(T103="A",I103,0)))</f>
        <v>0</v>
      </c>
      <c r="W103" s="18" t="str">
        <f aca="false">IF(L103="","",MAX(L103,M103))</f>
        <v/>
      </c>
      <c r="X103" s="18" t="str">
        <f aca="false">IF(L103="","",MIN(L103,M103))</f>
        <v/>
      </c>
      <c r="Y103" s="18" t="str">
        <f aca="false">IF(OR(L103="",M103=""),"",IF(U103,CHOOSE(Q103,INDEX(GRP,X103+1,W103+1),INDEX(KO,X103+1,W103+1),INDEX(FIN,X103+1,W103+1)),R103))</f>
        <v/>
      </c>
    </row>
    <row r="104" customFormat="false" ht="15" hidden="false" customHeight="false" outlineLevel="0" collapsed="false">
      <c r="A104" s="9" t="n">
        <v>102</v>
      </c>
      <c r="B104" s="15"/>
      <c r="C104" s="15"/>
      <c r="D104" s="16"/>
      <c r="E104" s="16"/>
      <c r="F104" s="15"/>
      <c r="G104" s="15"/>
      <c r="H104" s="15"/>
      <c r="I104" s="15"/>
      <c r="J104" s="15"/>
      <c r="K104" s="15"/>
      <c r="L104" s="15"/>
      <c r="M104" s="15"/>
      <c r="N104" s="17" t="str">
        <f aca="false">IF(OR(L104="",M104="",J104="",K104=""),"",IF(S104=T104,Y104*V104*IF(F104="Y",2,1),0))</f>
        <v/>
      </c>
      <c r="O104" s="16"/>
      <c r="Q104" s="18" t="n">
        <f aca="false">IF(C104="Group",1,IF(OR(C104="SF",C104="3rd",C104="Final"),3,2))</f>
        <v>2</v>
      </c>
      <c r="R104" s="18" t="n">
        <f aca="false">CHOOSE(Q104,1,1.5,2)</f>
        <v>1.5</v>
      </c>
      <c r="S104" s="18" t="str">
        <f aca="false">IF(J104="","",IF(J104&gt;K104,"H",IF(J104=K104,"D","A")))</f>
        <v/>
      </c>
      <c r="T104" s="18" t="str">
        <f aca="false">IF(L104="","",IF(L104&gt;M104,"H",IF(L104=M104,"D","A")))</f>
        <v/>
      </c>
      <c r="U104" s="19" t="b">
        <f aca="false">AND(L104&lt;&gt;"",J104=L104,K104=M104)</f>
        <v>0</v>
      </c>
      <c r="V104" s="18" t="n">
        <f aca="false">IF(T104="H",G104,IF(T104="D",H104,IF(T104="A",I104,0)))</f>
        <v>0</v>
      </c>
      <c r="W104" s="18" t="str">
        <f aca="false">IF(L104="","",MAX(L104,M104))</f>
        <v/>
      </c>
      <c r="X104" s="18" t="str">
        <f aca="false">IF(L104="","",MIN(L104,M104))</f>
        <v/>
      </c>
      <c r="Y104" s="18" t="str">
        <f aca="false">IF(OR(L104="",M104=""),"",IF(U104,CHOOSE(Q104,INDEX(GRP,X104+1,W104+1),INDEX(KO,X104+1,W104+1),INDEX(FIN,X104+1,W104+1)),R104))</f>
        <v/>
      </c>
    </row>
    <row r="105" customFormat="false" ht="15" hidden="false" customHeight="false" outlineLevel="0" collapsed="false">
      <c r="A105" s="9" t="n">
        <v>103</v>
      </c>
      <c r="B105" s="15"/>
      <c r="C105" s="15"/>
      <c r="D105" s="16"/>
      <c r="E105" s="16"/>
      <c r="F105" s="15"/>
      <c r="G105" s="15"/>
      <c r="H105" s="15"/>
      <c r="I105" s="15"/>
      <c r="J105" s="15"/>
      <c r="K105" s="15"/>
      <c r="L105" s="15"/>
      <c r="M105" s="15"/>
      <c r="N105" s="17" t="str">
        <f aca="false">IF(OR(L105="",M105="",J105="",K105=""),"",IF(S105=T105,Y105*V105*IF(F105="Y",2,1),0))</f>
        <v/>
      </c>
      <c r="O105" s="16"/>
      <c r="Q105" s="18" t="n">
        <f aca="false">IF(C105="Group",1,IF(OR(C105="SF",C105="3rd",C105="Final"),3,2))</f>
        <v>2</v>
      </c>
      <c r="R105" s="18" t="n">
        <f aca="false">CHOOSE(Q105,1,1.5,2)</f>
        <v>1.5</v>
      </c>
      <c r="S105" s="18" t="str">
        <f aca="false">IF(J105="","",IF(J105&gt;K105,"H",IF(J105=K105,"D","A")))</f>
        <v/>
      </c>
      <c r="T105" s="18" t="str">
        <f aca="false">IF(L105="","",IF(L105&gt;M105,"H",IF(L105=M105,"D","A")))</f>
        <v/>
      </c>
      <c r="U105" s="19" t="b">
        <f aca="false">AND(L105&lt;&gt;"",J105=L105,K105=M105)</f>
        <v>0</v>
      </c>
      <c r="V105" s="18" t="n">
        <f aca="false">IF(T105="H",G105,IF(T105="D",H105,IF(T105="A",I105,0)))</f>
        <v>0</v>
      </c>
      <c r="W105" s="18" t="str">
        <f aca="false">IF(L105="","",MAX(L105,M105))</f>
        <v/>
      </c>
      <c r="X105" s="18" t="str">
        <f aca="false">IF(L105="","",MIN(L105,M105))</f>
        <v/>
      </c>
      <c r="Y105" s="18" t="str">
        <f aca="false">IF(OR(L105="",M105=""),"",IF(U105,CHOOSE(Q105,INDEX(GRP,X105+1,W105+1),INDEX(KO,X105+1,W105+1),INDEX(FIN,X105+1,W105+1)),R105))</f>
        <v/>
      </c>
    </row>
    <row r="106" customFormat="false" ht="15" hidden="false" customHeight="false" outlineLevel="0" collapsed="false">
      <c r="A106" s="9" t="n">
        <v>104</v>
      </c>
      <c r="B106" s="15"/>
      <c r="C106" s="15"/>
      <c r="D106" s="16"/>
      <c r="E106" s="16"/>
      <c r="F106" s="15"/>
      <c r="G106" s="15"/>
      <c r="H106" s="15"/>
      <c r="I106" s="15"/>
      <c r="J106" s="15"/>
      <c r="K106" s="15"/>
      <c r="L106" s="15"/>
      <c r="M106" s="15"/>
      <c r="N106" s="17" t="str">
        <f aca="false">IF(OR(L106="",M106="",J106="",K106=""),"",IF(S106=T106,Y106*V106*IF(F106="Y",2,1),0))</f>
        <v/>
      </c>
      <c r="O106" s="16"/>
      <c r="Q106" s="18" t="n">
        <f aca="false">IF(C106="Group",1,IF(OR(C106="SF",C106="3rd",C106="Final"),3,2))</f>
        <v>2</v>
      </c>
      <c r="R106" s="18" t="n">
        <f aca="false">CHOOSE(Q106,1,1.5,2)</f>
        <v>1.5</v>
      </c>
      <c r="S106" s="18" t="str">
        <f aca="false">IF(J106="","",IF(J106&gt;K106,"H",IF(J106=K106,"D","A")))</f>
        <v/>
      </c>
      <c r="T106" s="18" t="str">
        <f aca="false">IF(L106="","",IF(L106&gt;M106,"H",IF(L106=M106,"D","A")))</f>
        <v/>
      </c>
      <c r="U106" s="19" t="b">
        <f aca="false">AND(L106&lt;&gt;"",J106=L106,K106=M106)</f>
        <v>0</v>
      </c>
      <c r="V106" s="18" t="n">
        <f aca="false">IF(T106="H",G106,IF(T106="D",H106,IF(T106="A",I106,0)))</f>
        <v>0</v>
      </c>
      <c r="W106" s="18" t="str">
        <f aca="false">IF(L106="","",MAX(L106,M106))</f>
        <v/>
      </c>
      <c r="X106" s="18" t="str">
        <f aca="false">IF(L106="","",MIN(L106,M106))</f>
        <v/>
      </c>
      <c r="Y106" s="18" t="str">
        <f aca="false">IF(OR(L106="",M106=""),"",IF(U106,CHOOSE(Q106,INDEX(GRP,X106+1,W106+1),INDEX(KO,X106+1,W106+1),INDEX(FIN,X106+1,W106+1)),R106))</f>
        <v/>
      </c>
    </row>
    <row r="107" customFormat="false" ht="15" hidden="false" customHeight="false" outlineLevel="0" collapsed="false">
      <c r="A107" s="9" t="n">
        <v>105</v>
      </c>
      <c r="B107" s="15"/>
      <c r="C107" s="15"/>
      <c r="D107" s="16"/>
      <c r="E107" s="16"/>
      <c r="F107" s="15"/>
      <c r="G107" s="15"/>
      <c r="H107" s="15"/>
      <c r="I107" s="15"/>
      <c r="J107" s="15"/>
      <c r="K107" s="15"/>
      <c r="L107" s="15"/>
      <c r="M107" s="15"/>
      <c r="N107" s="17" t="str">
        <f aca="false">IF(OR(L107="",M107="",J107="",K107=""),"",IF(S107=T107,Y107*V107*IF(F107="Y",2,1),0))</f>
        <v/>
      </c>
      <c r="O107" s="16"/>
      <c r="Q107" s="18" t="n">
        <f aca="false">IF(C107="Group",1,IF(OR(C107="SF",C107="3rd",C107="Final"),3,2))</f>
        <v>2</v>
      </c>
      <c r="R107" s="18" t="n">
        <f aca="false">CHOOSE(Q107,1,1.5,2)</f>
        <v>1.5</v>
      </c>
      <c r="S107" s="18" t="str">
        <f aca="false">IF(J107="","",IF(J107&gt;K107,"H",IF(J107=K107,"D","A")))</f>
        <v/>
      </c>
      <c r="T107" s="18" t="str">
        <f aca="false">IF(L107="","",IF(L107&gt;M107,"H",IF(L107=M107,"D","A")))</f>
        <v/>
      </c>
      <c r="U107" s="19" t="b">
        <f aca="false">AND(L107&lt;&gt;"",J107=L107,K107=M107)</f>
        <v>0</v>
      </c>
      <c r="V107" s="18" t="n">
        <f aca="false">IF(T107="H",G107,IF(T107="D",H107,IF(T107="A",I107,0)))</f>
        <v>0</v>
      </c>
      <c r="W107" s="18" t="str">
        <f aca="false">IF(L107="","",MAX(L107,M107))</f>
        <v/>
      </c>
      <c r="X107" s="18" t="str">
        <f aca="false">IF(L107="","",MIN(L107,M107))</f>
        <v/>
      </c>
      <c r="Y107" s="18" t="str">
        <f aca="false">IF(OR(L107="",M107=""),"",IF(U107,CHOOSE(Q107,INDEX(GRP,X107+1,W107+1),INDEX(KO,X107+1,W107+1),INDEX(FIN,X107+1,W107+1)),R107))</f>
        <v/>
      </c>
    </row>
    <row r="108" customFormat="false" ht="15" hidden="false" customHeight="false" outlineLevel="0" collapsed="false">
      <c r="A108" s="9" t="n">
        <v>106</v>
      </c>
      <c r="B108" s="15"/>
      <c r="C108" s="15"/>
      <c r="D108" s="16"/>
      <c r="E108" s="16"/>
      <c r="F108" s="15"/>
      <c r="G108" s="15"/>
      <c r="H108" s="15"/>
      <c r="I108" s="15"/>
      <c r="J108" s="15"/>
      <c r="K108" s="15"/>
      <c r="L108" s="15"/>
      <c r="M108" s="15"/>
      <c r="N108" s="17" t="str">
        <f aca="false">IF(OR(L108="",M108="",J108="",K108=""),"",IF(S108=T108,Y108*V108*IF(F108="Y",2,1),0))</f>
        <v/>
      </c>
      <c r="O108" s="16"/>
      <c r="Q108" s="18" t="n">
        <f aca="false">IF(C108="Group",1,IF(OR(C108="SF",C108="3rd",C108="Final"),3,2))</f>
        <v>2</v>
      </c>
      <c r="R108" s="18" t="n">
        <f aca="false">CHOOSE(Q108,1,1.5,2)</f>
        <v>1.5</v>
      </c>
      <c r="S108" s="18" t="str">
        <f aca="false">IF(J108="","",IF(J108&gt;K108,"H",IF(J108=K108,"D","A")))</f>
        <v/>
      </c>
      <c r="T108" s="18" t="str">
        <f aca="false">IF(L108="","",IF(L108&gt;M108,"H",IF(L108=M108,"D","A")))</f>
        <v/>
      </c>
      <c r="U108" s="19" t="b">
        <f aca="false">AND(L108&lt;&gt;"",J108=L108,K108=M108)</f>
        <v>0</v>
      </c>
      <c r="V108" s="18" t="n">
        <f aca="false">IF(T108="H",G108,IF(T108="D",H108,IF(T108="A",I108,0)))</f>
        <v>0</v>
      </c>
      <c r="W108" s="18" t="str">
        <f aca="false">IF(L108="","",MAX(L108,M108))</f>
        <v/>
      </c>
      <c r="X108" s="18" t="str">
        <f aca="false">IF(L108="","",MIN(L108,M108))</f>
        <v/>
      </c>
      <c r="Y108" s="18" t="str">
        <f aca="false">IF(OR(L108="",M108=""),"",IF(U108,CHOOSE(Q108,INDEX(GRP,X108+1,W108+1),INDEX(KO,X108+1,W108+1),INDEX(FIN,X108+1,W108+1)),R108))</f>
        <v/>
      </c>
    </row>
    <row r="109" customFormat="false" ht="15" hidden="false" customHeight="false" outlineLevel="0" collapsed="false">
      <c r="A109" s="9" t="n">
        <v>107</v>
      </c>
      <c r="B109" s="15"/>
      <c r="C109" s="15"/>
      <c r="D109" s="16"/>
      <c r="E109" s="16"/>
      <c r="F109" s="15"/>
      <c r="G109" s="15"/>
      <c r="H109" s="15"/>
      <c r="I109" s="15"/>
      <c r="J109" s="15"/>
      <c r="K109" s="15"/>
      <c r="L109" s="15"/>
      <c r="M109" s="15"/>
      <c r="N109" s="17" t="str">
        <f aca="false">IF(OR(L109="",M109="",J109="",K109=""),"",IF(S109=T109,Y109*V109*IF(F109="Y",2,1),0))</f>
        <v/>
      </c>
      <c r="O109" s="16"/>
      <c r="Q109" s="18" t="n">
        <f aca="false">IF(C109="Group",1,IF(OR(C109="SF",C109="3rd",C109="Final"),3,2))</f>
        <v>2</v>
      </c>
      <c r="R109" s="18" t="n">
        <f aca="false">CHOOSE(Q109,1,1.5,2)</f>
        <v>1.5</v>
      </c>
      <c r="S109" s="18" t="str">
        <f aca="false">IF(J109="","",IF(J109&gt;K109,"H",IF(J109=K109,"D","A")))</f>
        <v/>
      </c>
      <c r="T109" s="18" t="str">
        <f aca="false">IF(L109="","",IF(L109&gt;M109,"H",IF(L109=M109,"D","A")))</f>
        <v/>
      </c>
      <c r="U109" s="19" t="b">
        <f aca="false">AND(L109&lt;&gt;"",J109=L109,K109=M109)</f>
        <v>0</v>
      </c>
      <c r="V109" s="18" t="n">
        <f aca="false">IF(T109="H",G109,IF(T109="D",H109,IF(T109="A",I109,0)))</f>
        <v>0</v>
      </c>
      <c r="W109" s="18" t="str">
        <f aca="false">IF(L109="","",MAX(L109,M109))</f>
        <v/>
      </c>
      <c r="X109" s="18" t="str">
        <f aca="false">IF(L109="","",MIN(L109,M109))</f>
        <v/>
      </c>
      <c r="Y109" s="18" t="str">
        <f aca="false">IF(OR(L109="",M109=""),"",IF(U109,CHOOSE(Q109,INDEX(GRP,X109+1,W109+1),INDEX(KO,X109+1,W109+1),INDEX(FIN,X109+1,W109+1)),R109))</f>
        <v/>
      </c>
    </row>
    <row r="110" customFormat="false" ht="15" hidden="false" customHeight="false" outlineLevel="0" collapsed="false">
      <c r="A110" s="9" t="n">
        <v>108</v>
      </c>
      <c r="B110" s="15"/>
      <c r="C110" s="15"/>
      <c r="D110" s="16"/>
      <c r="E110" s="16"/>
      <c r="F110" s="15"/>
      <c r="G110" s="15"/>
      <c r="H110" s="15"/>
      <c r="I110" s="15"/>
      <c r="J110" s="15"/>
      <c r="K110" s="15"/>
      <c r="L110" s="15"/>
      <c r="M110" s="15"/>
      <c r="N110" s="17" t="str">
        <f aca="false">IF(OR(L110="",M110="",J110="",K110=""),"",IF(S110=T110,Y110*V110*IF(F110="Y",2,1),0))</f>
        <v/>
      </c>
      <c r="O110" s="16"/>
      <c r="Q110" s="18" t="n">
        <f aca="false">IF(C110="Group",1,IF(OR(C110="SF",C110="3rd",C110="Final"),3,2))</f>
        <v>2</v>
      </c>
      <c r="R110" s="18" t="n">
        <f aca="false">CHOOSE(Q110,1,1.5,2)</f>
        <v>1.5</v>
      </c>
      <c r="S110" s="18" t="str">
        <f aca="false">IF(J110="","",IF(J110&gt;K110,"H",IF(J110=K110,"D","A")))</f>
        <v/>
      </c>
      <c r="T110" s="18" t="str">
        <f aca="false">IF(L110="","",IF(L110&gt;M110,"H",IF(L110=M110,"D","A")))</f>
        <v/>
      </c>
      <c r="U110" s="19" t="b">
        <f aca="false">AND(L110&lt;&gt;"",J110=L110,K110=M110)</f>
        <v>0</v>
      </c>
      <c r="V110" s="18" t="n">
        <f aca="false">IF(T110="H",G110,IF(T110="D",H110,IF(T110="A",I110,0)))</f>
        <v>0</v>
      </c>
      <c r="W110" s="18" t="str">
        <f aca="false">IF(L110="","",MAX(L110,M110))</f>
        <v/>
      </c>
      <c r="X110" s="18" t="str">
        <f aca="false">IF(L110="","",MIN(L110,M110))</f>
        <v/>
      </c>
      <c r="Y110" s="18" t="str">
        <f aca="false">IF(OR(L110="",M110=""),"",IF(U110,CHOOSE(Q110,INDEX(GRP,X110+1,W110+1),INDEX(KO,X110+1,W110+1),INDEX(FIN,X110+1,W110+1)),R110))</f>
        <v/>
      </c>
    </row>
    <row r="111" customFormat="false" ht="15" hidden="false" customHeight="false" outlineLevel="0" collapsed="false">
      <c r="A111" s="9" t="n">
        <v>109</v>
      </c>
      <c r="B111" s="15"/>
      <c r="C111" s="15"/>
      <c r="D111" s="16"/>
      <c r="E111" s="16"/>
      <c r="F111" s="15"/>
      <c r="G111" s="15"/>
      <c r="H111" s="15"/>
      <c r="I111" s="15"/>
      <c r="J111" s="15"/>
      <c r="K111" s="15"/>
      <c r="L111" s="15"/>
      <c r="M111" s="15"/>
      <c r="N111" s="17" t="str">
        <f aca="false">IF(OR(L111="",M111="",J111="",K111=""),"",IF(S111=T111,Y111*V111*IF(F111="Y",2,1),0))</f>
        <v/>
      </c>
      <c r="O111" s="16"/>
      <c r="Q111" s="18" t="n">
        <f aca="false">IF(C111="Group",1,IF(OR(C111="SF",C111="3rd",C111="Final"),3,2))</f>
        <v>2</v>
      </c>
      <c r="R111" s="18" t="n">
        <f aca="false">CHOOSE(Q111,1,1.5,2)</f>
        <v>1.5</v>
      </c>
      <c r="S111" s="18" t="str">
        <f aca="false">IF(J111="","",IF(J111&gt;K111,"H",IF(J111=K111,"D","A")))</f>
        <v/>
      </c>
      <c r="T111" s="18" t="str">
        <f aca="false">IF(L111="","",IF(L111&gt;M111,"H",IF(L111=M111,"D","A")))</f>
        <v/>
      </c>
      <c r="U111" s="19" t="b">
        <f aca="false">AND(L111&lt;&gt;"",J111=L111,K111=M111)</f>
        <v>0</v>
      </c>
      <c r="V111" s="18" t="n">
        <f aca="false">IF(T111="H",G111,IF(T111="D",H111,IF(T111="A",I111,0)))</f>
        <v>0</v>
      </c>
      <c r="W111" s="18" t="str">
        <f aca="false">IF(L111="","",MAX(L111,M111))</f>
        <v/>
      </c>
      <c r="X111" s="18" t="str">
        <f aca="false">IF(L111="","",MIN(L111,M111))</f>
        <v/>
      </c>
      <c r="Y111" s="18" t="str">
        <f aca="false">IF(OR(L111="",M111=""),"",IF(U111,CHOOSE(Q111,INDEX(GRP,X111+1,W111+1),INDEX(KO,X111+1,W111+1),INDEX(FIN,X111+1,W111+1)),R111))</f>
        <v/>
      </c>
    </row>
    <row r="112" customFormat="false" ht="15" hidden="false" customHeight="false" outlineLevel="0" collapsed="false">
      <c r="A112" s="9" t="n">
        <v>110</v>
      </c>
      <c r="B112" s="15"/>
      <c r="C112" s="15"/>
      <c r="D112" s="16"/>
      <c r="E112" s="16"/>
      <c r="F112" s="15"/>
      <c r="G112" s="15"/>
      <c r="H112" s="15"/>
      <c r="I112" s="15"/>
      <c r="J112" s="15"/>
      <c r="K112" s="15"/>
      <c r="L112" s="15"/>
      <c r="M112" s="15"/>
      <c r="N112" s="17" t="str">
        <f aca="false">IF(OR(L112="",M112="",J112="",K112=""),"",IF(S112=T112,Y112*V112*IF(F112="Y",2,1),0))</f>
        <v/>
      </c>
      <c r="O112" s="16"/>
      <c r="Q112" s="18" t="n">
        <f aca="false">IF(C112="Group",1,IF(OR(C112="SF",C112="3rd",C112="Final"),3,2))</f>
        <v>2</v>
      </c>
      <c r="R112" s="18" t="n">
        <f aca="false">CHOOSE(Q112,1,1.5,2)</f>
        <v>1.5</v>
      </c>
      <c r="S112" s="18" t="str">
        <f aca="false">IF(J112="","",IF(J112&gt;K112,"H",IF(J112=K112,"D","A")))</f>
        <v/>
      </c>
      <c r="T112" s="18" t="str">
        <f aca="false">IF(L112="","",IF(L112&gt;M112,"H",IF(L112=M112,"D","A")))</f>
        <v/>
      </c>
      <c r="U112" s="19" t="b">
        <f aca="false">AND(L112&lt;&gt;"",J112=L112,K112=M112)</f>
        <v>0</v>
      </c>
      <c r="V112" s="18" t="n">
        <f aca="false">IF(T112="H",G112,IF(T112="D",H112,IF(T112="A",I112,0)))</f>
        <v>0</v>
      </c>
      <c r="W112" s="18" t="str">
        <f aca="false">IF(L112="","",MAX(L112,M112))</f>
        <v/>
      </c>
      <c r="X112" s="18" t="str">
        <f aca="false">IF(L112="","",MIN(L112,M112))</f>
        <v/>
      </c>
      <c r="Y112" s="18" t="str">
        <f aca="false">IF(OR(L112="",M112=""),"",IF(U112,CHOOSE(Q112,INDEX(GRP,X112+1,W112+1),INDEX(KO,X112+1,W112+1),INDEX(FIN,X112+1,W112+1)),R112))</f>
        <v/>
      </c>
    </row>
    <row r="113" customFormat="false" ht="15" hidden="false" customHeight="false" outlineLevel="0" collapsed="false">
      <c r="A113" s="9" t="n">
        <v>111</v>
      </c>
      <c r="B113" s="15"/>
      <c r="C113" s="15"/>
      <c r="D113" s="16"/>
      <c r="E113" s="16"/>
      <c r="F113" s="15"/>
      <c r="G113" s="15"/>
      <c r="H113" s="15"/>
      <c r="I113" s="15"/>
      <c r="J113" s="15"/>
      <c r="K113" s="15"/>
      <c r="L113" s="15"/>
      <c r="M113" s="15"/>
      <c r="N113" s="17" t="str">
        <f aca="false">IF(OR(L113="",M113="",J113="",K113=""),"",IF(S113=T113,Y113*V113*IF(F113="Y",2,1),0))</f>
        <v/>
      </c>
      <c r="O113" s="16"/>
      <c r="Q113" s="18" t="n">
        <f aca="false">IF(C113="Group",1,IF(OR(C113="SF",C113="3rd",C113="Final"),3,2))</f>
        <v>2</v>
      </c>
      <c r="R113" s="18" t="n">
        <f aca="false">CHOOSE(Q113,1,1.5,2)</f>
        <v>1.5</v>
      </c>
      <c r="S113" s="18" t="str">
        <f aca="false">IF(J113="","",IF(J113&gt;K113,"H",IF(J113=K113,"D","A")))</f>
        <v/>
      </c>
      <c r="T113" s="18" t="str">
        <f aca="false">IF(L113="","",IF(L113&gt;M113,"H",IF(L113=M113,"D","A")))</f>
        <v/>
      </c>
      <c r="U113" s="19" t="b">
        <f aca="false">AND(L113&lt;&gt;"",J113=L113,K113=M113)</f>
        <v>0</v>
      </c>
      <c r="V113" s="18" t="n">
        <f aca="false">IF(T113="H",G113,IF(T113="D",H113,IF(T113="A",I113,0)))</f>
        <v>0</v>
      </c>
      <c r="W113" s="18" t="str">
        <f aca="false">IF(L113="","",MAX(L113,M113))</f>
        <v/>
      </c>
      <c r="X113" s="18" t="str">
        <f aca="false">IF(L113="","",MIN(L113,M113))</f>
        <v/>
      </c>
      <c r="Y113" s="18" t="str">
        <f aca="false">IF(OR(L113="",M113=""),"",IF(U113,CHOOSE(Q113,INDEX(GRP,X113+1,W113+1),INDEX(KO,X113+1,W113+1),INDEX(FIN,X113+1,W113+1)),R113))</f>
        <v/>
      </c>
    </row>
    <row r="114" customFormat="false" ht="15" hidden="false" customHeight="false" outlineLevel="0" collapsed="false">
      <c r="A114" s="9" t="n">
        <v>112</v>
      </c>
      <c r="B114" s="15"/>
      <c r="C114" s="15"/>
      <c r="D114" s="16"/>
      <c r="E114" s="16"/>
      <c r="F114" s="15"/>
      <c r="G114" s="15"/>
      <c r="H114" s="15"/>
      <c r="I114" s="15"/>
      <c r="J114" s="15"/>
      <c r="K114" s="15"/>
      <c r="L114" s="15"/>
      <c r="M114" s="15"/>
      <c r="N114" s="17" t="str">
        <f aca="false">IF(OR(L114="",M114="",J114="",K114=""),"",IF(S114=T114,Y114*V114*IF(F114="Y",2,1),0))</f>
        <v/>
      </c>
      <c r="O114" s="16"/>
      <c r="Q114" s="18" t="n">
        <f aca="false">IF(C114="Group",1,IF(OR(C114="SF",C114="3rd",C114="Final"),3,2))</f>
        <v>2</v>
      </c>
      <c r="R114" s="18" t="n">
        <f aca="false">CHOOSE(Q114,1,1.5,2)</f>
        <v>1.5</v>
      </c>
      <c r="S114" s="18" t="str">
        <f aca="false">IF(J114="","",IF(J114&gt;K114,"H",IF(J114=K114,"D","A")))</f>
        <v/>
      </c>
      <c r="T114" s="18" t="str">
        <f aca="false">IF(L114="","",IF(L114&gt;M114,"H",IF(L114=M114,"D","A")))</f>
        <v/>
      </c>
      <c r="U114" s="19" t="b">
        <f aca="false">AND(L114&lt;&gt;"",J114=L114,K114=M114)</f>
        <v>0</v>
      </c>
      <c r="V114" s="18" t="n">
        <f aca="false">IF(T114="H",G114,IF(T114="D",H114,IF(T114="A",I114,0)))</f>
        <v>0</v>
      </c>
      <c r="W114" s="18" t="str">
        <f aca="false">IF(L114="","",MAX(L114,M114))</f>
        <v/>
      </c>
      <c r="X114" s="18" t="str">
        <f aca="false">IF(L114="","",MIN(L114,M114))</f>
        <v/>
      </c>
      <c r="Y114" s="18" t="str">
        <f aca="false">IF(OR(L114="",M114=""),"",IF(U114,CHOOSE(Q114,INDEX(GRP,X114+1,W114+1),INDEX(KO,X114+1,W114+1),INDEX(FIN,X114+1,W114+1)),R114))</f>
        <v/>
      </c>
    </row>
    <row r="115" customFormat="false" ht="15" hidden="false" customHeight="false" outlineLevel="0" collapsed="false">
      <c r="A115" s="9" t="n">
        <v>113</v>
      </c>
      <c r="B115" s="15"/>
      <c r="C115" s="15"/>
      <c r="D115" s="16"/>
      <c r="E115" s="16"/>
      <c r="F115" s="15"/>
      <c r="G115" s="15"/>
      <c r="H115" s="15"/>
      <c r="I115" s="15"/>
      <c r="J115" s="15"/>
      <c r="K115" s="15"/>
      <c r="L115" s="15"/>
      <c r="M115" s="15"/>
      <c r="N115" s="17" t="str">
        <f aca="false">IF(OR(L115="",M115="",J115="",K115=""),"",IF(S115=T115,Y115*V115*IF(F115="Y",2,1),0))</f>
        <v/>
      </c>
      <c r="O115" s="16"/>
      <c r="Q115" s="18" t="n">
        <f aca="false">IF(C115="Group",1,IF(OR(C115="SF",C115="3rd",C115="Final"),3,2))</f>
        <v>2</v>
      </c>
      <c r="R115" s="18" t="n">
        <f aca="false">CHOOSE(Q115,1,1.5,2)</f>
        <v>1.5</v>
      </c>
      <c r="S115" s="18" t="str">
        <f aca="false">IF(J115="","",IF(J115&gt;K115,"H",IF(J115=K115,"D","A")))</f>
        <v/>
      </c>
      <c r="T115" s="18" t="str">
        <f aca="false">IF(L115="","",IF(L115&gt;M115,"H",IF(L115=M115,"D","A")))</f>
        <v/>
      </c>
      <c r="U115" s="19" t="b">
        <f aca="false">AND(L115&lt;&gt;"",J115=L115,K115=M115)</f>
        <v>0</v>
      </c>
      <c r="V115" s="18" t="n">
        <f aca="false">IF(T115="H",G115,IF(T115="D",H115,IF(T115="A",I115,0)))</f>
        <v>0</v>
      </c>
      <c r="W115" s="18" t="str">
        <f aca="false">IF(L115="","",MAX(L115,M115))</f>
        <v/>
      </c>
      <c r="X115" s="18" t="str">
        <f aca="false">IF(L115="","",MIN(L115,M115))</f>
        <v/>
      </c>
      <c r="Y115" s="18" t="str">
        <f aca="false">IF(OR(L115="",M115=""),"",IF(U115,CHOOSE(Q115,INDEX(GRP,X115+1,W115+1),INDEX(KO,X115+1,W115+1),INDEX(FIN,X115+1,W115+1)),R115))</f>
        <v/>
      </c>
    </row>
    <row r="116" customFormat="false" ht="15" hidden="false" customHeight="false" outlineLevel="0" collapsed="false">
      <c r="A116" s="9" t="n">
        <v>114</v>
      </c>
      <c r="B116" s="15"/>
      <c r="C116" s="15"/>
      <c r="D116" s="16"/>
      <c r="E116" s="16"/>
      <c r="F116" s="15"/>
      <c r="G116" s="15"/>
      <c r="H116" s="15"/>
      <c r="I116" s="15"/>
      <c r="J116" s="15"/>
      <c r="K116" s="15"/>
      <c r="L116" s="15"/>
      <c r="M116" s="15"/>
      <c r="N116" s="17" t="str">
        <f aca="false">IF(OR(L116="",M116="",J116="",K116=""),"",IF(S116=T116,Y116*V116*IF(F116="Y",2,1),0))</f>
        <v/>
      </c>
      <c r="O116" s="16"/>
      <c r="Q116" s="18" t="n">
        <f aca="false">IF(C116="Group",1,IF(OR(C116="SF",C116="3rd",C116="Final"),3,2))</f>
        <v>2</v>
      </c>
      <c r="R116" s="18" t="n">
        <f aca="false">CHOOSE(Q116,1,1.5,2)</f>
        <v>1.5</v>
      </c>
      <c r="S116" s="18" t="str">
        <f aca="false">IF(J116="","",IF(J116&gt;K116,"H",IF(J116=K116,"D","A")))</f>
        <v/>
      </c>
      <c r="T116" s="18" t="str">
        <f aca="false">IF(L116="","",IF(L116&gt;M116,"H",IF(L116=M116,"D","A")))</f>
        <v/>
      </c>
      <c r="U116" s="19" t="b">
        <f aca="false">AND(L116&lt;&gt;"",J116=L116,K116=M116)</f>
        <v>0</v>
      </c>
      <c r="V116" s="18" t="n">
        <f aca="false">IF(T116="H",G116,IF(T116="D",H116,IF(T116="A",I116,0)))</f>
        <v>0</v>
      </c>
      <c r="W116" s="18" t="str">
        <f aca="false">IF(L116="","",MAX(L116,M116))</f>
        <v/>
      </c>
      <c r="X116" s="18" t="str">
        <f aca="false">IF(L116="","",MIN(L116,M116))</f>
        <v/>
      </c>
      <c r="Y116" s="18" t="str">
        <f aca="false">IF(OR(L116="",M116=""),"",IF(U116,CHOOSE(Q116,INDEX(GRP,X116+1,W116+1),INDEX(KO,X116+1,W116+1),INDEX(FIN,X116+1,W116+1)),R116))</f>
        <v/>
      </c>
    </row>
    <row r="117" customFormat="false" ht="15" hidden="false" customHeight="false" outlineLevel="0" collapsed="false">
      <c r="A117" s="9" t="n">
        <v>115</v>
      </c>
      <c r="B117" s="15"/>
      <c r="C117" s="15"/>
      <c r="D117" s="16"/>
      <c r="E117" s="16"/>
      <c r="F117" s="15"/>
      <c r="G117" s="15"/>
      <c r="H117" s="15"/>
      <c r="I117" s="15"/>
      <c r="J117" s="15"/>
      <c r="K117" s="15"/>
      <c r="L117" s="15"/>
      <c r="M117" s="15"/>
      <c r="N117" s="17" t="str">
        <f aca="false">IF(OR(L117="",M117="",J117="",K117=""),"",IF(S117=T117,Y117*V117*IF(F117="Y",2,1),0))</f>
        <v/>
      </c>
      <c r="O117" s="16"/>
      <c r="Q117" s="18" t="n">
        <f aca="false">IF(C117="Group",1,IF(OR(C117="SF",C117="3rd",C117="Final"),3,2))</f>
        <v>2</v>
      </c>
      <c r="R117" s="18" t="n">
        <f aca="false">CHOOSE(Q117,1,1.5,2)</f>
        <v>1.5</v>
      </c>
      <c r="S117" s="18" t="str">
        <f aca="false">IF(J117="","",IF(J117&gt;K117,"H",IF(J117=K117,"D","A")))</f>
        <v/>
      </c>
      <c r="T117" s="18" t="str">
        <f aca="false">IF(L117="","",IF(L117&gt;M117,"H",IF(L117=M117,"D","A")))</f>
        <v/>
      </c>
      <c r="U117" s="19" t="b">
        <f aca="false">AND(L117&lt;&gt;"",J117=L117,K117=M117)</f>
        <v>0</v>
      </c>
      <c r="V117" s="18" t="n">
        <f aca="false">IF(T117="H",G117,IF(T117="D",H117,IF(T117="A",I117,0)))</f>
        <v>0</v>
      </c>
      <c r="W117" s="18" t="str">
        <f aca="false">IF(L117="","",MAX(L117,M117))</f>
        <v/>
      </c>
      <c r="X117" s="18" t="str">
        <f aca="false">IF(L117="","",MIN(L117,M117))</f>
        <v/>
      </c>
      <c r="Y117" s="18" t="str">
        <f aca="false">IF(OR(L117="",M117=""),"",IF(U117,CHOOSE(Q117,INDEX(GRP,X117+1,W117+1),INDEX(KO,X117+1,W117+1),INDEX(FIN,X117+1,W117+1)),R117))</f>
        <v/>
      </c>
    </row>
    <row r="118" customFormat="false" ht="15" hidden="false" customHeight="false" outlineLevel="0" collapsed="false">
      <c r="A118" s="9" t="n">
        <v>116</v>
      </c>
      <c r="B118" s="15"/>
      <c r="C118" s="15"/>
      <c r="D118" s="16"/>
      <c r="E118" s="16"/>
      <c r="F118" s="15"/>
      <c r="G118" s="15"/>
      <c r="H118" s="15"/>
      <c r="I118" s="15"/>
      <c r="J118" s="15"/>
      <c r="K118" s="15"/>
      <c r="L118" s="15"/>
      <c r="M118" s="15"/>
      <c r="N118" s="17" t="str">
        <f aca="false">IF(OR(L118="",M118="",J118="",K118=""),"",IF(S118=T118,Y118*V118*IF(F118="Y",2,1),0))</f>
        <v/>
      </c>
      <c r="O118" s="16"/>
      <c r="Q118" s="18" t="n">
        <f aca="false">IF(C118="Group",1,IF(OR(C118="SF",C118="3rd",C118="Final"),3,2))</f>
        <v>2</v>
      </c>
      <c r="R118" s="18" t="n">
        <f aca="false">CHOOSE(Q118,1,1.5,2)</f>
        <v>1.5</v>
      </c>
      <c r="S118" s="18" t="str">
        <f aca="false">IF(J118="","",IF(J118&gt;K118,"H",IF(J118=K118,"D","A")))</f>
        <v/>
      </c>
      <c r="T118" s="18" t="str">
        <f aca="false">IF(L118="","",IF(L118&gt;M118,"H",IF(L118=M118,"D","A")))</f>
        <v/>
      </c>
      <c r="U118" s="19" t="b">
        <f aca="false">AND(L118&lt;&gt;"",J118=L118,K118=M118)</f>
        <v>0</v>
      </c>
      <c r="V118" s="18" t="n">
        <f aca="false">IF(T118="H",G118,IF(T118="D",H118,IF(T118="A",I118,0)))</f>
        <v>0</v>
      </c>
      <c r="W118" s="18" t="str">
        <f aca="false">IF(L118="","",MAX(L118,M118))</f>
        <v/>
      </c>
      <c r="X118" s="18" t="str">
        <f aca="false">IF(L118="","",MIN(L118,M118))</f>
        <v/>
      </c>
      <c r="Y118" s="18" t="str">
        <f aca="false">IF(OR(L118="",M118=""),"",IF(U118,CHOOSE(Q118,INDEX(GRP,X118+1,W118+1),INDEX(KO,X118+1,W118+1),INDEX(FIN,X118+1,W118+1)),R118))</f>
        <v/>
      </c>
    </row>
    <row r="119" customFormat="false" ht="15" hidden="false" customHeight="false" outlineLevel="0" collapsed="false">
      <c r="A119" s="9" t="n">
        <v>117</v>
      </c>
      <c r="B119" s="15"/>
      <c r="C119" s="15"/>
      <c r="D119" s="16"/>
      <c r="E119" s="16"/>
      <c r="F119" s="15"/>
      <c r="G119" s="15"/>
      <c r="H119" s="15"/>
      <c r="I119" s="15"/>
      <c r="J119" s="15"/>
      <c r="K119" s="15"/>
      <c r="L119" s="15"/>
      <c r="M119" s="15"/>
      <c r="N119" s="17" t="str">
        <f aca="false">IF(OR(L119="",M119="",J119="",K119=""),"",IF(S119=T119,Y119*V119*IF(F119="Y",2,1),0))</f>
        <v/>
      </c>
      <c r="O119" s="16"/>
      <c r="Q119" s="18" t="n">
        <f aca="false">IF(C119="Group",1,IF(OR(C119="SF",C119="3rd",C119="Final"),3,2))</f>
        <v>2</v>
      </c>
      <c r="R119" s="18" t="n">
        <f aca="false">CHOOSE(Q119,1,1.5,2)</f>
        <v>1.5</v>
      </c>
      <c r="S119" s="18" t="str">
        <f aca="false">IF(J119="","",IF(J119&gt;K119,"H",IF(J119=K119,"D","A")))</f>
        <v/>
      </c>
      <c r="T119" s="18" t="str">
        <f aca="false">IF(L119="","",IF(L119&gt;M119,"H",IF(L119=M119,"D","A")))</f>
        <v/>
      </c>
      <c r="U119" s="19" t="b">
        <f aca="false">AND(L119&lt;&gt;"",J119=L119,K119=M119)</f>
        <v>0</v>
      </c>
      <c r="V119" s="18" t="n">
        <f aca="false">IF(T119="H",G119,IF(T119="D",H119,IF(T119="A",I119,0)))</f>
        <v>0</v>
      </c>
      <c r="W119" s="18" t="str">
        <f aca="false">IF(L119="","",MAX(L119,M119))</f>
        <v/>
      </c>
      <c r="X119" s="18" t="str">
        <f aca="false">IF(L119="","",MIN(L119,M119))</f>
        <v/>
      </c>
      <c r="Y119" s="18" t="str">
        <f aca="false">IF(OR(L119="",M119=""),"",IF(U119,CHOOSE(Q119,INDEX(GRP,X119+1,W119+1),INDEX(KO,X119+1,W119+1),INDEX(FIN,X119+1,W119+1)),R119))</f>
        <v/>
      </c>
    </row>
    <row r="120" customFormat="false" ht="15" hidden="false" customHeight="false" outlineLevel="0" collapsed="false">
      <c r="A120" s="9" t="n">
        <v>118</v>
      </c>
      <c r="B120" s="15"/>
      <c r="C120" s="15"/>
      <c r="D120" s="16"/>
      <c r="E120" s="16"/>
      <c r="F120" s="15"/>
      <c r="G120" s="15"/>
      <c r="H120" s="15"/>
      <c r="I120" s="15"/>
      <c r="J120" s="15"/>
      <c r="K120" s="15"/>
      <c r="L120" s="15"/>
      <c r="M120" s="15"/>
      <c r="N120" s="17" t="str">
        <f aca="false">IF(OR(L120="",M120="",J120="",K120=""),"",IF(S120=T120,Y120*V120*IF(F120="Y",2,1),0))</f>
        <v/>
      </c>
      <c r="O120" s="16"/>
      <c r="Q120" s="18" t="n">
        <f aca="false">IF(C120="Group",1,IF(OR(C120="SF",C120="3rd",C120="Final"),3,2))</f>
        <v>2</v>
      </c>
      <c r="R120" s="18" t="n">
        <f aca="false">CHOOSE(Q120,1,1.5,2)</f>
        <v>1.5</v>
      </c>
      <c r="S120" s="18" t="str">
        <f aca="false">IF(J120="","",IF(J120&gt;K120,"H",IF(J120=K120,"D","A")))</f>
        <v/>
      </c>
      <c r="T120" s="18" t="str">
        <f aca="false">IF(L120="","",IF(L120&gt;M120,"H",IF(L120=M120,"D","A")))</f>
        <v/>
      </c>
      <c r="U120" s="19" t="b">
        <f aca="false">AND(L120&lt;&gt;"",J120=L120,K120=M120)</f>
        <v>0</v>
      </c>
      <c r="V120" s="18" t="n">
        <f aca="false">IF(T120="H",G120,IF(T120="D",H120,IF(T120="A",I120,0)))</f>
        <v>0</v>
      </c>
      <c r="W120" s="18" t="str">
        <f aca="false">IF(L120="","",MAX(L120,M120))</f>
        <v/>
      </c>
      <c r="X120" s="18" t="str">
        <f aca="false">IF(L120="","",MIN(L120,M120))</f>
        <v/>
      </c>
      <c r="Y120" s="18" t="str">
        <f aca="false">IF(OR(L120="",M120=""),"",IF(U120,CHOOSE(Q120,INDEX(GRP,X120+1,W120+1),INDEX(KO,X120+1,W120+1),INDEX(FIN,X120+1,W120+1)),R120))</f>
        <v/>
      </c>
    </row>
    <row r="121" customFormat="false" ht="15" hidden="false" customHeight="false" outlineLevel="0" collapsed="false">
      <c r="A121" s="9" t="n">
        <v>119</v>
      </c>
      <c r="B121" s="15"/>
      <c r="C121" s="15"/>
      <c r="D121" s="16"/>
      <c r="E121" s="16"/>
      <c r="F121" s="15"/>
      <c r="G121" s="15"/>
      <c r="H121" s="15"/>
      <c r="I121" s="15"/>
      <c r="J121" s="15"/>
      <c r="K121" s="15"/>
      <c r="L121" s="15"/>
      <c r="M121" s="15"/>
      <c r="N121" s="17" t="str">
        <f aca="false">IF(OR(L121="",M121="",J121="",K121=""),"",IF(S121=T121,Y121*V121*IF(F121="Y",2,1),0))</f>
        <v/>
      </c>
      <c r="O121" s="16"/>
      <c r="Q121" s="18" t="n">
        <f aca="false">IF(C121="Group",1,IF(OR(C121="SF",C121="3rd",C121="Final"),3,2))</f>
        <v>2</v>
      </c>
      <c r="R121" s="18" t="n">
        <f aca="false">CHOOSE(Q121,1,1.5,2)</f>
        <v>1.5</v>
      </c>
      <c r="S121" s="18" t="str">
        <f aca="false">IF(J121="","",IF(J121&gt;K121,"H",IF(J121=K121,"D","A")))</f>
        <v/>
      </c>
      <c r="T121" s="18" t="str">
        <f aca="false">IF(L121="","",IF(L121&gt;M121,"H",IF(L121=M121,"D","A")))</f>
        <v/>
      </c>
      <c r="U121" s="19" t="b">
        <f aca="false">AND(L121&lt;&gt;"",J121=L121,K121=M121)</f>
        <v>0</v>
      </c>
      <c r="V121" s="18" t="n">
        <f aca="false">IF(T121="H",G121,IF(T121="D",H121,IF(T121="A",I121,0)))</f>
        <v>0</v>
      </c>
      <c r="W121" s="18" t="str">
        <f aca="false">IF(L121="","",MAX(L121,M121))</f>
        <v/>
      </c>
      <c r="X121" s="18" t="str">
        <f aca="false">IF(L121="","",MIN(L121,M121))</f>
        <v/>
      </c>
      <c r="Y121" s="18" t="str">
        <f aca="false">IF(OR(L121="",M121=""),"",IF(U121,CHOOSE(Q121,INDEX(GRP,X121+1,W121+1),INDEX(KO,X121+1,W121+1),INDEX(FIN,X121+1,W121+1)),R121))</f>
        <v/>
      </c>
    </row>
    <row r="122" customFormat="false" ht="15" hidden="false" customHeight="false" outlineLevel="0" collapsed="false">
      <c r="A122" s="9" t="n">
        <v>120</v>
      </c>
      <c r="B122" s="15"/>
      <c r="C122" s="15"/>
      <c r="D122" s="16"/>
      <c r="E122" s="16"/>
      <c r="F122" s="15"/>
      <c r="G122" s="15"/>
      <c r="H122" s="15"/>
      <c r="I122" s="15"/>
      <c r="J122" s="15"/>
      <c r="K122" s="15"/>
      <c r="L122" s="15"/>
      <c r="M122" s="15"/>
      <c r="N122" s="17" t="str">
        <f aca="false">IF(OR(L122="",M122="",J122="",K122=""),"",IF(S122=T122,Y122*V122*IF(F122="Y",2,1),0))</f>
        <v/>
      </c>
      <c r="O122" s="16"/>
      <c r="Q122" s="18" t="n">
        <f aca="false">IF(C122="Group",1,IF(OR(C122="SF",C122="3rd",C122="Final"),3,2))</f>
        <v>2</v>
      </c>
      <c r="R122" s="18" t="n">
        <f aca="false">CHOOSE(Q122,1,1.5,2)</f>
        <v>1.5</v>
      </c>
      <c r="S122" s="18" t="str">
        <f aca="false">IF(J122="","",IF(J122&gt;K122,"H",IF(J122=K122,"D","A")))</f>
        <v/>
      </c>
      <c r="T122" s="18" t="str">
        <f aca="false">IF(L122="","",IF(L122&gt;M122,"H",IF(L122=M122,"D","A")))</f>
        <v/>
      </c>
      <c r="U122" s="19" t="b">
        <f aca="false">AND(L122&lt;&gt;"",J122=L122,K122=M122)</f>
        <v>0</v>
      </c>
      <c r="V122" s="18" t="n">
        <f aca="false">IF(T122="H",G122,IF(T122="D",H122,IF(T122="A",I122,0)))</f>
        <v>0</v>
      </c>
      <c r="W122" s="18" t="str">
        <f aca="false">IF(L122="","",MAX(L122,M122))</f>
        <v/>
      </c>
      <c r="X122" s="18" t="str">
        <f aca="false">IF(L122="","",MIN(L122,M122))</f>
        <v/>
      </c>
      <c r="Y122" s="18" t="str">
        <f aca="false">IF(OR(L122="",M122=""),"",IF(U122,CHOOSE(Q122,INDEX(GRP,X122+1,W122+1),INDEX(KO,X122+1,W122+1),INDEX(FIN,X122+1,W122+1)),R122))</f>
        <v/>
      </c>
    </row>
    <row r="124" customFormat="false" ht="15" hidden="false" customHeight="false" outlineLevel="0" collapsed="false">
      <c r="E124" s="20" t="s">
        <v>77</v>
      </c>
      <c r="N124" s="21" t="n">
        <f aca="false">SUM(N3:N122)</f>
        <v>3</v>
      </c>
    </row>
  </sheetData>
  <dataValidations count="2">
    <dataValidation allowBlank="true" errorStyle="stop" operator="between" showDropDown="false" showErrorMessage="false" showInputMessage="false" sqref="C3:C122" type="list">
      <formula1>"Group,R32,R16,QF,SF,3rd,Final"</formula1>
      <formula2>0</formula2>
    </dataValidation>
    <dataValidation allowBlank="true" errorStyle="stop" operator="between" showDropDown="false" showErrorMessage="false" showInputMessage="false" sqref="F3:F12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9"/>
  </cols>
  <sheetData>
    <row r="1" customFormat="false" ht="16.15" hidden="false" customHeight="false" outlineLevel="0" collapsed="false">
      <c r="A1" s="12" t="s">
        <v>78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3" t="s">
        <v>80</v>
      </c>
    </row>
    <row r="5" customFormat="false" ht="15" hidden="false" customHeight="false" outlineLevel="0" collapsed="false">
      <c r="A5" s="13" t="s">
        <v>81</v>
      </c>
      <c r="B5" s="13" t="s">
        <v>82</v>
      </c>
      <c r="C5" s="13" t="s">
        <v>83</v>
      </c>
      <c r="D5" s="13" t="s">
        <v>84</v>
      </c>
      <c r="E5" s="13" t="s">
        <v>85</v>
      </c>
    </row>
    <row r="6" customFormat="false" ht="15" hidden="false" customHeight="false" outlineLevel="0" collapsed="false">
      <c r="A6" s="22" t="s">
        <v>56</v>
      </c>
      <c r="B6" s="9" t="n">
        <v>20</v>
      </c>
      <c r="C6" s="23"/>
      <c r="D6" s="24" t="str">
        <f aca="false">IF(C6="","",B6*C6)</f>
        <v/>
      </c>
      <c r="E6" s="25"/>
    </row>
    <row r="7" customFormat="false" ht="15" hidden="false" customHeight="false" outlineLevel="0" collapsed="false">
      <c r="A7" s="22" t="s">
        <v>55</v>
      </c>
      <c r="B7" s="9" t="n">
        <v>20</v>
      </c>
      <c r="C7" s="23"/>
      <c r="D7" s="24" t="str">
        <f aca="false">IF(C7="","",B7*C7)</f>
        <v/>
      </c>
      <c r="E7" s="25"/>
    </row>
    <row r="8" customFormat="false" ht="15" hidden="false" customHeight="false" outlineLevel="0" collapsed="false">
      <c r="A8" s="22" t="s">
        <v>65</v>
      </c>
      <c r="B8" s="9" t="n">
        <v>26</v>
      </c>
      <c r="C8" s="23"/>
      <c r="D8" s="24" t="str">
        <f aca="false">IF(C8="","",B8*C8)</f>
        <v/>
      </c>
      <c r="E8" s="25"/>
    </row>
    <row r="9" customFormat="false" ht="15" hidden="false" customHeight="false" outlineLevel="0" collapsed="false">
      <c r="A9" s="22" t="s">
        <v>86</v>
      </c>
      <c r="B9" s="9" t="n">
        <v>33</v>
      </c>
      <c r="C9" s="23"/>
      <c r="D9" s="24" t="str">
        <f aca="false">IF(C9="","",B9*C9)</f>
        <v/>
      </c>
      <c r="E9" s="25"/>
    </row>
    <row r="10" customFormat="false" ht="15" hidden="false" customHeight="false" outlineLevel="0" collapsed="false">
      <c r="A10" s="22" t="s">
        <v>87</v>
      </c>
      <c r="B10" s="9" t="n">
        <v>34</v>
      </c>
      <c r="C10" s="23"/>
      <c r="D10" s="24" t="str">
        <f aca="false">IF(C10="","",B10*C10)</f>
        <v/>
      </c>
      <c r="E10" s="25"/>
    </row>
    <row r="11" customFormat="false" ht="15" hidden="false" customHeight="false" outlineLevel="0" collapsed="false">
      <c r="A11" s="22" t="s">
        <v>88</v>
      </c>
      <c r="B11" s="9" t="n">
        <v>39</v>
      </c>
      <c r="C11" s="23"/>
      <c r="D11" s="24" t="str">
        <f aca="false">IF(C11="","",B11*C11)</f>
        <v/>
      </c>
      <c r="E11" s="25"/>
    </row>
    <row r="12" customFormat="false" ht="15" hidden="false" customHeight="false" outlineLevel="0" collapsed="false">
      <c r="A12" s="22" t="s">
        <v>89</v>
      </c>
      <c r="B12" s="9" t="n">
        <v>43</v>
      </c>
      <c r="C12" s="23"/>
      <c r="D12" s="24" t="str">
        <f aca="false">IF(C12="","",B12*C12)</f>
        <v/>
      </c>
      <c r="E12" s="25"/>
    </row>
    <row r="13" customFormat="false" ht="15" hidden="false" customHeight="false" outlineLevel="0" collapsed="false">
      <c r="A13" s="22" t="s">
        <v>71</v>
      </c>
      <c r="B13" s="9" t="n">
        <v>59</v>
      </c>
      <c r="C13" s="23"/>
      <c r="D13" s="24" t="str">
        <f aca="false">IF(C13="","",B13*C13)</f>
        <v/>
      </c>
      <c r="E13" s="25"/>
    </row>
    <row r="14" customFormat="false" ht="15" hidden="false" customHeight="false" outlineLevel="0" collapsed="false">
      <c r="A14" s="22" t="s">
        <v>76</v>
      </c>
      <c r="B14" s="9" t="n">
        <v>78</v>
      </c>
      <c r="C14" s="23"/>
      <c r="D14" s="24" t="str">
        <f aca="false">IF(C14="","",B14*C14)</f>
        <v/>
      </c>
      <c r="E14" s="25"/>
    </row>
    <row r="15" customFormat="false" ht="15" hidden="false" customHeight="false" outlineLevel="0" collapsed="false">
      <c r="A15" s="22" t="s">
        <v>90</v>
      </c>
      <c r="B15" s="9" t="n">
        <v>170</v>
      </c>
      <c r="C15" s="23"/>
      <c r="D15" s="24" t="str">
        <f aca="false">IF(C15="","",B15*C15)</f>
        <v/>
      </c>
      <c r="E15" s="25"/>
    </row>
    <row r="18" customFormat="false" ht="15" hidden="false" customHeight="false" outlineLevel="0" collapsed="false">
      <c r="A18" s="3" t="s">
        <v>91</v>
      </c>
    </row>
    <row r="19" customFormat="false" ht="15" hidden="false" customHeight="false" outlineLevel="0" collapsed="false">
      <c r="A19" s="13" t="s">
        <v>81</v>
      </c>
      <c r="B19" s="13" t="s">
        <v>82</v>
      </c>
      <c r="C19" s="13" t="s">
        <v>83</v>
      </c>
      <c r="D19" s="13" t="s">
        <v>84</v>
      </c>
      <c r="E19" s="13" t="s">
        <v>85</v>
      </c>
    </row>
    <row r="20" customFormat="false" ht="15" hidden="false" customHeight="false" outlineLevel="0" collapsed="false">
      <c r="A20" s="22" t="s">
        <v>92</v>
      </c>
      <c r="B20" s="9" t="n">
        <v>20</v>
      </c>
      <c r="C20" s="23"/>
      <c r="D20" s="24" t="str">
        <f aca="false">IF(C20="","",B20*C20)</f>
        <v/>
      </c>
      <c r="E20" s="25"/>
    </row>
    <row r="21" customFormat="false" ht="15" hidden="false" customHeight="false" outlineLevel="0" collapsed="false">
      <c r="A21" s="22" t="s">
        <v>93</v>
      </c>
      <c r="B21" s="9" t="n">
        <v>21</v>
      </c>
      <c r="C21" s="23"/>
      <c r="D21" s="24" t="str">
        <f aca="false">IF(C21="","",B21*C21)</f>
        <v/>
      </c>
      <c r="E21" s="25"/>
    </row>
    <row r="22" customFormat="false" ht="15" hidden="false" customHeight="false" outlineLevel="0" collapsed="false">
      <c r="A22" s="22" t="s">
        <v>94</v>
      </c>
      <c r="B22" s="9" t="n">
        <v>25</v>
      </c>
      <c r="C22" s="23"/>
      <c r="D22" s="24" t="str">
        <f aca="false">IF(C22="","",B22*C22)</f>
        <v/>
      </c>
      <c r="E22" s="25"/>
    </row>
    <row r="23" customFormat="false" ht="15" hidden="false" customHeight="false" outlineLevel="0" collapsed="false">
      <c r="A23" s="22" t="s">
        <v>95</v>
      </c>
      <c r="B23" s="9" t="n">
        <v>28</v>
      </c>
      <c r="C23" s="23"/>
      <c r="D23" s="24" t="str">
        <f aca="false">IF(C23="","",B23*C23)</f>
        <v/>
      </c>
      <c r="E23" s="25"/>
    </row>
    <row r="24" customFormat="false" ht="15" hidden="false" customHeight="false" outlineLevel="0" collapsed="false">
      <c r="A24" s="22" t="s">
        <v>96</v>
      </c>
      <c r="B24" s="9" t="n">
        <v>28</v>
      </c>
      <c r="C24" s="23"/>
      <c r="D24" s="24" t="str">
        <f aca="false">IF(C24="","",B24*C24)</f>
        <v/>
      </c>
      <c r="E24" s="25"/>
    </row>
    <row r="25" customFormat="false" ht="15" hidden="false" customHeight="false" outlineLevel="0" collapsed="false">
      <c r="A25" s="22" t="s">
        <v>97</v>
      </c>
      <c r="B25" s="9" t="n">
        <v>30</v>
      </c>
      <c r="C25" s="23"/>
      <c r="D25" s="24" t="str">
        <f aca="false">IF(C25="","",B25*C25)</f>
        <v/>
      </c>
      <c r="E25" s="25"/>
    </row>
    <row r="26" customFormat="false" ht="15" hidden="false" customHeight="false" outlineLevel="0" collapsed="false">
      <c r="A26" s="22" t="s">
        <v>98</v>
      </c>
      <c r="B26" s="9" t="n">
        <v>33</v>
      </c>
      <c r="C26" s="23"/>
      <c r="D26" s="24" t="str">
        <f aca="false">IF(C26="","",B26*C26)</f>
        <v/>
      </c>
      <c r="E26" s="25"/>
    </row>
    <row r="27" customFormat="false" ht="15" hidden="false" customHeight="false" outlineLevel="0" collapsed="false">
      <c r="A27" s="22" t="s">
        <v>99</v>
      </c>
      <c r="B27" s="9" t="n">
        <v>36</v>
      </c>
      <c r="C27" s="23"/>
      <c r="D27" s="24" t="str">
        <f aca="false">IF(C27="","",B27*C27)</f>
        <v/>
      </c>
      <c r="E27" s="25"/>
    </row>
    <row r="28" customFormat="false" ht="15" hidden="false" customHeight="false" outlineLevel="0" collapsed="false">
      <c r="A28" s="22" t="s">
        <v>100</v>
      </c>
      <c r="B28" s="9" t="n">
        <v>39</v>
      </c>
      <c r="C28" s="23"/>
      <c r="D28" s="24" t="str">
        <f aca="false">IF(C28="","",B28*C28)</f>
        <v/>
      </c>
      <c r="E28" s="25"/>
    </row>
    <row r="29" customFormat="false" ht="15" hidden="false" customHeight="false" outlineLevel="0" collapsed="false">
      <c r="A29" s="22" t="s">
        <v>101</v>
      </c>
      <c r="B29" s="9" t="n">
        <v>40</v>
      </c>
      <c r="C29" s="23"/>
      <c r="D29" s="24" t="str">
        <f aca="false">IF(C29="","",B29*C29)</f>
        <v/>
      </c>
      <c r="E29" s="25"/>
    </row>
    <row r="30" customFormat="false" ht="15" hidden="false" customHeight="false" outlineLevel="0" collapsed="false">
      <c r="A30" s="22" t="s">
        <v>102</v>
      </c>
      <c r="B30" s="9" t="n">
        <v>44</v>
      </c>
      <c r="C30" s="23"/>
      <c r="D30" s="24" t="str">
        <f aca="false">IF(C30="","",B30*C30)</f>
        <v/>
      </c>
      <c r="E30" s="25"/>
    </row>
    <row r="31" customFormat="false" ht="15" hidden="false" customHeight="false" outlineLevel="0" collapsed="false">
      <c r="A31" s="22" t="s">
        <v>103</v>
      </c>
      <c r="B31" s="9" t="n">
        <v>46</v>
      </c>
      <c r="C31" s="23"/>
      <c r="D31" s="24" t="str">
        <f aca="false">IF(C31="","",B31*C31)</f>
        <v/>
      </c>
      <c r="E31" s="25"/>
    </row>
    <row r="32" customFormat="false" ht="15" hidden="false" customHeight="false" outlineLevel="0" collapsed="false">
      <c r="A32" s="22" t="s">
        <v>104</v>
      </c>
      <c r="B32" s="9" t="n">
        <v>48</v>
      </c>
      <c r="C32" s="23"/>
      <c r="D32" s="24" t="str">
        <f aca="false">IF(C32="","",B32*C32)</f>
        <v/>
      </c>
      <c r="E32" s="25"/>
    </row>
    <row r="33" customFormat="false" ht="15" hidden="false" customHeight="false" outlineLevel="0" collapsed="false">
      <c r="A33" s="22" t="s">
        <v>105</v>
      </c>
      <c r="B33" s="9" t="n">
        <v>57</v>
      </c>
      <c r="C33" s="23"/>
      <c r="D33" s="24" t="str">
        <f aca="false">IF(C33="","",B33*C33)</f>
        <v/>
      </c>
      <c r="E33" s="25"/>
    </row>
    <row r="34" customFormat="false" ht="15" hidden="false" customHeight="false" outlineLevel="0" collapsed="false">
      <c r="A34" s="22" t="s">
        <v>106</v>
      </c>
      <c r="B34" s="9" t="n">
        <v>60</v>
      </c>
      <c r="C34" s="23"/>
      <c r="D34" s="24" t="str">
        <f aca="false">IF(C34="","",B34*C34)</f>
        <v/>
      </c>
      <c r="E34" s="25"/>
    </row>
    <row r="35" customFormat="false" ht="15" hidden="false" customHeight="false" outlineLevel="0" collapsed="false">
      <c r="A35" s="22" t="s">
        <v>107</v>
      </c>
      <c r="B35" s="9" t="n">
        <v>61</v>
      </c>
      <c r="C35" s="23"/>
      <c r="D35" s="24" t="str">
        <f aca="false">IF(C35="","",B35*C35)</f>
        <v/>
      </c>
      <c r="E35" s="25"/>
    </row>
    <row r="36" customFormat="false" ht="15" hidden="false" customHeight="false" outlineLevel="0" collapsed="false">
      <c r="A36" s="22" t="s">
        <v>108</v>
      </c>
      <c r="B36" s="9" t="n">
        <v>65</v>
      </c>
      <c r="C36" s="23"/>
      <c r="D36" s="24" t="str">
        <f aca="false">IF(C36="","",B36*C36)</f>
        <v/>
      </c>
      <c r="E36" s="25"/>
    </row>
    <row r="37" customFormat="false" ht="15" hidden="false" customHeight="false" outlineLevel="0" collapsed="false">
      <c r="A37" s="22" t="s">
        <v>109</v>
      </c>
      <c r="B37" s="9" t="n">
        <v>67</v>
      </c>
      <c r="C37" s="23"/>
      <c r="D37" s="24" t="str">
        <f aca="false">IF(C37="","",B37*C37)</f>
        <v/>
      </c>
      <c r="E37" s="25"/>
    </row>
    <row r="38" customFormat="false" ht="15" hidden="false" customHeight="false" outlineLevel="0" collapsed="false">
      <c r="A38" s="22" t="s">
        <v>110</v>
      </c>
      <c r="B38" s="9" t="n">
        <v>73</v>
      </c>
      <c r="C38" s="23"/>
      <c r="D38" s="24" t="str">
        <f aca="false">IF(C38="","",B38*C38)</f>
        <v/>
      </c>
      <c r="E38" s="25"/>
    </row>
    <row r="41" customFormat="false" ht="15" hidden="false" customHeight="false" outlineLevel="0" collapsed="false">
      <c r="A41" s="3" t="s">
        <v>111</v>
      </c>
    </row>
    <row r="42" customFormat="false" ht="15" hidden="false" customHeight="false" outlineLevel="0" collapsed="false">
      <c r="A42" s="13" t="s">
        <v>81</v>
      </c>
      <c r="B42" s="13" t="s">
        <v>82</v>
      </c>
      <c r="C42" s="13" t="s">
        <v>83</v>
      </c>
      <c r="D42" s="13" t="s">
        <v>84</v>
      </c>
      <c r="E42" s="13" t="s">
        <v>85</v>
      </c>
    </row>
    <row r="43" customFormat="false" ht="15" hidden="false" customHeight="false" outlineLevel="0" collapsed="false">
      <c r="A43" s="22" t="s">
        <v>112</v>
      </c>
      <c r="B43" s="9" t="n">
        <v>15</v>
      </c>
      <c r="C43" s="23"/>
      <c r="D43" s="24" t="str">
        <f aca="false">IF(C43="","",B43*C43)</f>
        <v/>
      </c>
      <c r="E43" s="25"/>
    </row>
    <row r="44" customFormat="false" ht="15" hidden="false" customHeight="false" outlineLevel="0" collapsed="false">
      <c r="A44" s="22" t="s">
        <v>113</v>
      </c>
      <c r="B44" s="9" t="n">
        <v>16</v>
      </c>
      <c r="C44" s="23"/>
      <c r="D44" s="24" t="str">
        <f aca="false">IF(C44="","",B44*C44)</f>
        <v/>
      </c>
      <c r="E44" s="25"/>
    </row>
    <row r="45" customFormat="false" ht="15" hidden="false" customHeight="false" outlineLevel="0" collapsed="false">
      <c r="A45" s="22" t="s">
        <v>114</v>
      </c>
      <c r="B45" s="9" t="n">
        <v>19</v>
      </c>
      <c r="C45" s="23"/>
      <c r="D45" s="24" t="str">
        <f aca="false">IF(C45="","",B45*C45)</f>
        <v/>
      </c>
      <c r="E45" s="25"/>
    </row>
    <row r="46" customFormat="false" ht="15" hidden="false" customHeight="false" outlineLevel="0" collapsed="false">
      <c r="A46" s="22" t="s">
        <v>115</v>
      </c>
      <c r="B46" s="9" t="n">
        <v>22</v>
      </c>
      <c r="C46" s="23"/>
      <c r="D46" s="24" t="str">
        <f aca="false">IF(C46="","",B46*C46)</f>
        <v/>
      </c>
      <c r="E46" s="25"/>
    </row>
    <row r="47" customFormat="false" ht="15" hidden="false" customHeight="false" outlineLevel="0" collapsed="false">
      <c r="A47" s="22" t="s">
        <v>116</v>
      </c>
      <c r="B47" s="9" t="n">
        <v>23</v>
      </c>
      <c r="C47" s="23"/>
      <c r="D47" s="24" t="str">
        <f aca="false">IF(C47="","",B47*C47)</f>
        <v/>
      </c>
      <c r="E47" s="25"/>
    </row>
    <row r="48" customFormat="false" ht="15" hidden="false" customHeight="false" outlineLevel="0" collapsed="false">
      <c r="A48" s="22" t="s">
        <v>117</v>
      </c>
      <c r="B48" s="9" t="n">
        <v>23</v>
      </c>
      <c r="C48" s="23"/>
      <c r="D48" s="24" t="str">
        <f aca="false">IF(C48="","",B48*C48)</f>
        <v/>
      </c>
      <c r="E48" s="25"/>
    </row>
    <row r="49" customFormat="false" ht="15" hidden="false" customHeight="false" outlineLevel="0" collapsed="false">
      <c r="A49" s="22" t="s">
        <v>118</v>
      </c>
      <c r="B49" s="9" t="n">
        <v>23</v>
      </c>
      <c r="C49" s="23"/>
      <c r="D49" s="24" t="str">
        <f aca="false">IF(C49="","",B49*C49)</f>
        <v/>
      </c>
      <c r="E49" s="25"/>
    </row>
    <row r="50" customFormat="false" ht="15" hidden="false" customHeight="false" outlineLevel="0" collapsed="false">
      <c r="A50" s="22" t="s">
        <v>119</v>
      </c>
      <c r="B50" s="9" t="n">
        <v>32</v>
      </c>
      <c r="C50" s="23"/>
      <c r="D50" s="24" t="str">
        <f aca="false">IF(C50="","",B50*C50)</f>
        <v/>
      </c>
      <c r="E50" s="25"/>
    </row>
    <row r="51" customFormat="false" ht="15" hidden="false" customHeight="false" outlineLevel="0" collapsed="false">
      <c r="A51" s="22" t="s">
        <v>120</v>
      </c>
      <c r="B51" s="9" t="n">
        <v>35</v>
      </c>
      <c r="C51" s="23"/>
      <c r="D51" s="24" t="str">
        <f aca="false">IF(C51="","",B51*C51)</f>
        <v/>
      </c>
      <c r="E51" s="25"/>
    </row>
    <row r="52" customFormat="false" ht="15" hidden="false" customHeight="false" outlineLevel="0" collapsed="false">
      <c r="A52" s="22" t="s">
        <v>121</v>
      </c>
      <c r="B52" s="9" t="n">
        <v>72</v>
      </c>
      <c r="C52" s="23"/>
      <c r="D52" s="24" t="str">
        <f aca="false">IF(C52="","",B52*C52)</f>
        <v/>
      </c>
      <c r="E52" s="25"/>
    </row>
    <row r="53" customFormat="false" ht="15" hidden="false" customHeight="false" outlineLevel="0" collapsed="false">
      <c r="A53" s="22" t="s">
        <v>122</v>
      </c>
      <c r="B53" s="9" t="n">
        <v>75</v>
      </c>
      <c r="C53" s="23"/>
      <c r="D53" s="24" t="str">
        <f aca="false">IF(C53="","",B53*C53)</f>
        <v/>
      </c>
      <c r="E53" s="25"/>
    </row>
    <row r="56" customFormat="false" ht="102.95" hidden="false" customHeight="false" outlineLevel="0" collapsed="false">
      <c r="A56" s="26" t="s">
        <v>123</v>
      </c>
    </row>
    <row r="57" customFormat="false" ht="15" hidden="false" customHeight="false" outlineLevel="0" collapsed="false">
      <c r="A57" s="4" t="s">
        <v>124</v>
      </c>
      <c r="B57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1" min="11" style="0" width="6"/>
    <col collapsed="false" customWidth="true" hidden="false" outlineLevel="0" max="12" min="12" style="0" width="7"/>
  </cols>
  <sheetData>
    <row r="1" customFormat="false" ht="16.15" hidden="false" customHeight="false" outlineLevel="0" collapsed="false">
      <c r="A1" s="12" t="s">
        <v>125</v>
      </c>
      <c r="G1" s="20" t="s">
        <v>126</v>
      </c>
      <c r="H1" s="28" t="n">
        <v>1000</v>
      </c>
    </row>
    <row r="2" customFormat="false" ht="15" hidden="false" customHeight="false" outlineLevel="0" collapsed="false">
      <c r="A2" s="2" t="s">
        <v>127</v>
      </c>
    </row>
    <row r="3" customFormat="false" ht="15" hidden="false" customHeight="false" outlineLevel="0" collapsed="false">
      <c r="A3" s="13" t="s">
        <v>128</v>
      </c>
      <c r="B3" s="13" t="s">
        <v>129</v>
      </c>
      <c r="C3" s="13" t="s">
        <v>130</v>
      </c>
      <c r="D3" s="13" t="s">
        <v>131</v>
      </c>
      <c r="E3" s="13" t="s">
        <v>132</v>
      </c>
      <c r="F3" s="13" t="s">
        <v>133</v>
      </c>
      <c r="G3" s="13" t="s">
        <v>134</v>
      </c>
      <c r="H3" s="13" t="s">
        <v>135</v>
      </c>
      <c r="I3" s="13" t="s">
        <v>136</v>
      </c>
      <c r="K3" s="7" t="s">
        <v>134</v>
      </c>
      <c r="L3" s="7" t="s">
        <v>137</v>
      </c>
    </row>
    <row r="4" customFormat="false" ht="15" hidden="false" customHeight="false" outlineLevel="0" collapsed="false">
      <c r="A4" s="25" t="s">
        <v>138</v>
      </c>
      <c r="B4" s="25"/>
      <c r="C4" s="24" t="str">
        <f aca="false">IF(B4="","",B4*0.85)</f>
        <v/>
      </c>
      <c r="D4" s="25"/>
      <c r="E4" s="25"/>
      <c r="F4" s="24" t="n">
        <f aca="false">IF(A4="","",SUM(C4,D4,E4))</f>
        <v>0</v>
      </c>
      <c r="G4" s="29" t="n">
        <f aca="false">IF(A4="","",RANK(F4,$F$4:$F$23))</f>
        <v>1</v>
      </c>
      <c r="H4" s="30" t="n">
        <f aca="false">IFERROR(VLOOKUP(G4,$K$4:$L$13,2,FALSE()),0)</f>
        <v>0.23</v>
      </c>
      <c r="I4" s="31" t="n">
        <f aca="false">IF(A4="","",H4*$H$1)</f>
        <v>230</v>
      </c>
      <c r="K4" s="29" t="n">
        <v>1</v>
      </c>
      <c r="L4" s="30" t="n">
        <v>0.23</v>
      </c>
    </row>
    <row r="5" customFormat="false" ht="15" hidden="false" customHeight="false" outlineLevel="0" collapsed="false">
      <c r="A5" s="25"/>
      <c r="B5" s="25"/>
      <c r="C5" s="24" t="str">
        <f aca="false">IF(B5="","",B5*0.85)</f>
        <v/>
      </c>
      <c r="D5" s="25"/>
      <c r="E5" s="25"/>
      <c r="F5" s="24" t="str">
        <f aca="false">IF(A5="","",SUM(C5,D5,E5))</f>
        <v/>
      </c>
      <c r="G5" s="29" t="str">
        <f aca="false">IF(A5="","",RANK(F5,$F$4:$F$23))</f>
        <v/>
      </c>
      <c r="H5" s="30" t="n">
        <f aca="false">IFERROR(VLOOKUP(G5,$K$4:$L$13,2,FALSE()),0)</f>
        <v>0</v>
      </c>
      <c r="I5" s="31" t="str">
        <f aca="false">IF(A5="","",H5*$H$1)</f>
        <v/>
      </c>
      <c r="K5" s="29" t="n">
        <v>2</v>
      </c>
      <c r="L5" s="30" t="n">
        <v>0.15</v>
      </c>
    </row>
    <row r="6" customFormat="false" ht="15" hidden="false" customHeight="false" outlineLevel="0" collapsed="false">
      <c r="A6" s="25"/>
      <c r="B6" s="25"/>
      <c r="C6" s="24" t="str">
        <f aca="false">IF(B6="","",B6*0.85)</f>
        <v/>
      </c>
      <c r="D6" s="25"/>
      <c r="E6" s="25"/>
      <c r="F6" s="24" t="str">
        <f aca="false">IF(A6="","",SUM(C6,D6,E6))</f>
        <v/>
      </c>
      <c r="G6" s="29" t="str">
        <f aca="false">IF(A6="","",RANK(F6,$F$4:$F$23))</f>
        <v/>
      </c>
      <c r="H6" s="30" t="n">
        <f aca="false">IFERROR(VLOOKUP(G6,$K$4:$L$13,2,FALSE()),0)</f>
        <v>0</v>
      </c>
      <c r="I6" s="31" t="str">
        <f aca="false">IF(A6="","",H6*$H$1)</f>
        <v/>
      </c>
      <c r="K6" s="29" t="n">
        <v>3</v>
      </c>
      <c r="L6" s="30" t="n">
        <v>0.125</v>
      </c>
    </row>
    <row r="7" customFormat="false" ht="15" hidden="false" customHeight="false" outlineLevel="0" collapsed="false">
      <c r="A7" s="25"/>
      <c r="B7" s="25"/>
      <c r="C7" s="24" t="str">
        <f aca="false">IF(B7="","",B7*0.85)</f>
        <v/>
      </c>
      <c r="D7" s="25"/>
      <c r="E7" s="25"/>
      <c r="F7" s="24" t="str">
        <f aca="false">IF(A7="","",SUM(C7,D7,E7))</f>
        <v/>
      </c>
      <c r="G7" s="29" t="str">
        <f aca="false">IF(A7="","",RANK(F7,$F$4:$F$23))</f>
        <v/>
      </c>
      <c r="H7" s="30" t="n">
        <f aca="false">IFERROR(VLOOKUP(G7,$K$4:$L$13,2,FALSE()),0)</f>
        <v>0</v>
      </c>
      <c r="I7" s="31" t="str">
        <f aca="false">IF(A7="","",H7*$H$1)</f>
        <v/>
      </c>
      <c r="K7" s="29" t="n">
        <v>4</v>
      </c>
      <c r="L7" s="30" t="n">
        <v>0.105</v>
      </c>
    </row>
    <row r="8" customFormat="false" ht="15" hidden="false" customHeight="false" outlineLevel="0" collapsed="false">
      <c r="A8" s="25"/>
      <c r="B8" s="25"/>
      <c r="C8" s="24" t="str">
        <f aca="false">IF(B8="","",B8*0.85)</f>
        <v/>
      </c>
      <c r="D8" s="25"/>
      <c r="E8" s="25"/>
      <c r="F8" s="24" t="str">
        <f aca="false">IF(A8="","",SUM(C8,D8,E8))</f>
        <v/>
      </c>
      <c r="G8" s="29" t="str">
        <f aca="false">IF(A8="","",RANK(F8,$F$4:$F$23))</f>
        <v/>
      </c>
      <c r="H8" s="30" t="n">
        <f aca="false">IFERROR(VLOOKUP(G8,$K$4:$L$13,2,FALSE()),0)</f>
        <v>0</v>
      </c>
      <c r="I8" s="31" t="str">
        <f aca="false">IF(A8="","",H8*$H$1)</f>
        <v/>
      </c>
      <c r="K8" s="29" t="n">
        <v>5</v>
      </c>
      <c r="L8" s="30" t="n">
        <v>0.09</v>
      </c>
    </row>
    <row r="9" customFormat="false" ht="15" hidden="false" customHeight="false" outlineLevel="0" collapsed="false">
      <c r="A9" s="25"/>
      <c r="B9" s="25"/>
      <c r="C9" s="24" t="str">
        <f aca="false">IF(B9="","",B9*0.85)</f>
        <v/>
      </c>
      <c r="D9" s="25"/>
      <c r="E9" s="25"/>
      <c r="F9" s="24" t="str">
        <f aca="false">IF(A9="","",SUM(C9,D9,E9))</f>
        <v/>
      </c>
      <c r="G9" s="29" t="str">
        <f aca="false">IF(A9="","",RANK(F9,$F$4:$F$23))</f>
        <v/>
      </c>
      <c r="H9" s="30" t="n">
        <f aca="false">IFERROR(VLOOKUP(G9,$K$4:$L$13,2,FALSE()),0)</f>
        <v>0</v>
      </c>
      <c r="I9" s="31" t="str">
        <f aca="false">IF(A9="","",H9*$H$1)</f>
        <v/>
      </c>
      <c r="K9" s="29" t="n">
        <v>6</v>
      </c>
      <c r="L9" s="30" t="n">
        <v>0.08</v>
      </c>
    </row>
    <row r="10" customFormat="false" ht="15" hidden="false" customHeight="false" outlineLevel="0" collapsed="false">
      <c r="A10" s="25"/>
      <c r="B10" s="25"/>
      <c r="C10" s="24" t="str">
        <f aca="false">IF(B10="","",B10*0.85)</f>
        <v/>
      </c>
      <c r="D10" s="25"/>
      <c r="E10" s="25"/>
      <c r="F10" s="24" t="str">
        <f aca="false">IF(A10="","",SUM(C10,D10,E10))</f>
        <v/>
      </c>
      <c r="G10" s="29" t="str">
        <f aca="false">IF(A10="","",RANK(F10,$F$4:$F$23))</f>
        <v/>
      </c>
      <c r="H10" s="30" t="n">
        <f aca="false">IFERROR(VLOOKUP(G10,$K$4:$L$13,2,FALSE()),0)</f>
        <v>0</v>
      </c>
      <c r="I10" s="31" t="str">
        <f aca="false">IF(A10="","",H10*$H$1)</f>
        <v/>
      </c>
      <c r="K10" s="29" t="n">
        <v>7</v>
      </c>
      <c r="L10" s="30" t="n">
        <v>0.07</v>
      </c>
    </row>
    <row r="11" customFormat="false" ht="15" hidden="false" customHeight="false" outlineLevel="0" collapsed="false">
      <c r="A11" s="25"/>
      <c r="B11" s="25"/>
      <c r="C11" s="24" t="str">
        <f aca="false">IF(B11="","",B11*0.85)</f>
        <v/>
      </c>
      <c r="D11" s="25"/>
      <c r="E11" s="25"/>
      <c r="F11" s="24" t="str">
        <f aca="false">IF(A11="","",SUM(C11,D11,E11))</f>
        <v/>
      </c>
      <c r="G11" s="29" t="str">
        <f aca="false">IF(A11="","",RANK(F11,$F$4:$F$23))</f>
        <v/>
      </c>
      <c r="H11" s="30" t="n">
        <f aca="false">IFERROR(VLOOKUP(G11,$K$4:$L$13,2,FALSE()),0)</f>
        <v>0</v>
      </c>
      <c r="I11" s="31" t="str">
        <f aca="false">IF(A11="","",H11*$H$1)</f>
        <v/>
      </c>
      <c r="K11" s="29" t="n">
        <v>8</v>
      </c>
      <c r="L11" s="30" t="n">
        <v>0.06</v>
      </c>
    </row>
    <row r="12" customFormat="false" ht="15" hidden="false" customHeight="false" outlineLevel="0" collapsed="false">
      <c r="A12" s="25"/>
      <c r="B12" s="25"/>
      <c r="C12" s="24" t="str">
        <f aca="false">IF(B12="","",B12*0.85)</f>
        <v/>
      </c>
      <c r="D12" s="25"/>
      <c r="E12" s="25"/>
      <c r="F12" s="24" t="str">
        <f aca="false">IF(A12="","",SUM(C12,D12,E12))</f>
        <v/>
      </c>
      <c r="G12" s="29" t="str">
        <f aca="false">IF(A12="","",RANK(F12,$F$4:$F$23))</f>
        <v/>
      </c>
      <c r="H12" s="30" t="n">
        <f aca="false">IFERROR(VLOOKUP(G12,$K$4:$L$13,2,FALSE()),0)</f>
        <v>0</v>
      </c>
      <c r="I12" s="31" t="str">
        <f aca="false">IF(A12="","",H12*$H$1)</f>
        <v/>
      </c>
      <c r="K12" s="29" t="n">
        <v>9</v>
      </c>
      <c r="L12" s="30" t="n">
        <v>0.05</v>
      </c>
    </row>
    <row r="13" customFormat="false" ht="15" hidden="false" customHeight="false" outlineLevel="0" collapsed="false">
      <c r="A13" s="25"/>
      <c r="B13" s="25"/>
      <c r="C13" s="24" t="str">
        <f aca="false">IF(B13="","",B13*0.85)</f>
        <v/>
      </c>
      <c r="D13" s="25"/>
      <c r="E13" s="25"/>
      <c r="F13" s="24" t="str">
        <f aca="false">IF(A13="","",SUM(C13,D13,E13))</f>
        <v/>
      </c>
      <c r="G13" s="29" t="str">
        <f aca="false">IF(A13="","",RANK(F13,$F$4:$F$23))</f>
        <v/>
      </c>
      <c r="H13" s="30" t="n">
        <f aca="false">IFERROR(VLOOKUP(G13,$K$4:$L$13,2,FALSE()),0)</f>
        <v>0</v>
      </c>
      <c r="I13" s="31" t="str">
        <f aca="false">IF(A13="","",H13*$H$1)</f>
        <v/>
      </c>
      <c r="K13" s="29" t="n">
        <v>10</v>
      </c>
      <c r="L13" s="30" t="n">
        <v>0.04</v>
      </c>
    </row>
    <row r="14" customFormat="false" ht="15" hidden="false" customHeight="false" outlineLevel="0" collapsed="false">
      <c r="A14" s="25"/>
      <c r="B14" s="25"/>
      <c r="C14" s="24" t="str">
        <f aca="false">IF(B14="","",B14*0.85)</f>
        <v/>
      </c>
      <c r="D14" s="25"/>
      <c r="E14" s="25"/>
      <c r="F14" s="24" t="str">
        <f aca="false">IF(A14="","",SUM(C14,D14,E14))</f>
        <v/>
      </c>
      <c r="G14" s="29" t="str">
        <f aca="false">IF(A14="","",RANK(F14,$F$4:$F$23))</f>
        <v/>
      </c>
      <c r="H14" s="30" t="n">
        <f aca="false">IFERROR(VLOOKUP(G14,$K$4:$L$13,2,FALSE()),0)</f>
        <v>0</v>
      </c>
      <c r="I14" s="31" t="str">
        <f aca="false">IF(A14="","",H14*$H$1)</f>
        <v/>
      </c>
    </row>
    <row r="15" customFormat="false" ht="15" hidden="false" customHeight="false" outlineLevel="0" collapsed="false">
      <c r="A15" s="25"/>
      <c r="B15" s="25"/>
      <c r="C15" s="24" t="str">
        <f aca="false">IF(B15="","",B15*0.85)</f>
        <v/>
      </c>
      <c r="D15" s="25"/>
      <c r="E15" s="25"/>
      <c r="F15" s="24" t="str">
        <f aca="false">IF(A15="","",SUM(C15,D15,E15))</f>
        <v/>
      </c>
      <c r="G15" s="29" t="str">
        <f aca="false">IF(A15="","",RANK(F15,$F$4:$F$23))</f>
        <v/>
      </c>
      <c r="H15" s="30" t="n">
        <f aca="false">IFERROR(VLOOKUP(G15,$K$4:$L$13,2,FALSE()),0)</f>
        <v>0</v>
      </c>
      <c r="I15" s="31" t="str">
        <f aca="false">IF(A15="","",H15*$H$1)</f>
        <v/>
      </c>
    </row>
    <row r="16" customFormat="false" ht="15" hidden="false" customHeight="false" outlineLevel="0" collapsed="false">
      <c r="A16" s="25"/>
      <c r="B16" s="25"/>
      <c r="C16" s="24" t="str">
        <f aca="false">IF(B16="","",B16*0.85)</f>
        <v/>
      </c>
      <c r="D16" s="25"/>
      <c r="E16" s="25"/>
      <c r="F16" s="24" t="str">
        <f aca="false">IF(A16="","",SUM(C16,D16,E16))</f>
        <v/>
      </c>
      <c r="G16" s="29" t="str">
        <f aca="false">IF(A16="","",RANK(F16,$F$4:$F$23))</f>
        <v/>
      </c>
      <c r="H16" s="30" t="n">
        <f aca="false">IFERROR(VLOOKUP(G16,$K$4:$L$13,2,FALSE()),0)</f>
        <v>0</v>
      </c>
      <c r="I16" s="31" t="str">
        <f aca="false">IF(A16="","",H16*$H$1)</f>
        <v/>
      </c>
    </row>
    <row r="17" customFormat="false" ht="15" hidden="false" customHeight="false" outlineLevel="0" collapsed="false">
      <c r="A17" s="25"/>
      <c r="B17" s="25"/>
      <c r="C17" s="24" t="str">
        <f aca="false">IF(B17="","",B17*0.85)</f>
        <v/>
      </c>
      <c r="D17" s="25"/>
      <c r="E17" s="25"/>
      <c r="F17" s="24" t="str">
        <f aca="false">IF(A17="","",SUM(C17,D17,E17))</f>
        <v/>
      </c>
      <c r="G17" s="29" t="str">
        <f aca="false">IF(A17="","",RANK(F17,$F$4:$F$23))</f>
        <v/>
      </c>
      <c r="H17" s="30" t="n">
        <f aca="false">IFERROR(VLOOKUP(G17,$K$4:$L$13,2,FALSE()),0)</f>
        <v>0</v>
      </c>
      <c r="I17" s="31" t="str">
        <f aca="false">IF(A17="","",H17*$H$1)</f>
        <v/>
      </c>
    </row>
    <row r="18" customFormat="false" ht="15" hidden="false" customHeight="false" outlineLevel="0" collapsed="false">
      <c r="A18" s="25"/>
      <c r="B18" s="25"/>
      <c r="C18" s="24" t="str">
        <f aca="false">IF(B18="","",B18*0.85)</f>
        <v/>
      </c>
      <c r="D18" s="25"/>
      <c r="E18" s="25"/>
      <c r="F18" s="24" t="str">
        <f aca="false">IF(A18="","",SUM(C18,D18,E18))</f>
        <v/>
      </c>
      <c r="G18" s="29" t="str">
        <f aca="false">IF(A18="","",RANK(F18,$F$4:$F$23))</f>
        <v/>
      </c>
      <c r="H18" s="30" t="n">
        <f aca="false">IFERROR(VLOOKUP(G18,$K$4:$L$13,2,FALSE()),0)</f>
        <v>0</v>
      </c>
      <c r="I18" s="31" t="str">
        <f aca="false">IF(A18="","",H18*$H$1)</f>
        <v/>
      </c>
    </row>
    <row r="19" customFormat="false" ht="15" hidden="false" customHeight="false" outlineLevel="0" collapsed="false">
      <c r="A19" s="25"/>
      <c r="B19" s="25"/>
      <c r="C19" s="24" t="str">
        <f aca="false">IF(B19="","",B19*0.85)</f>
        <v/>
      </c>
      <c r="D19" s="25"/>
      <c r="E19" s="25"/>
      <c r="F19" s="24" t="str">
        <f aca="false">IF(A19="","",SUM(C19,D19,E19))</f>
        <v/>
      </c>
      <c r="G19" s="29" t="str">
        <f aca="false">IF(A19="","",RANK(F19,$F$4:$F$23))</f>
        <v/>
      </c>
      <c r="H19" s="30" t="n">
        <f aca="false">IFERROR(VLOOKUP(G19,$K$4:$L$13,2,FALSE()),0)</f>
        <v>0</v>
      </c>
      <c r="I19" s="31" t="str">
        <f aca="false">IF(A19="","",H19*$H$1)</f>
        <v/>
      </c>
    </row>
    <row r="20" customFormat="false" ht="15" hidden="false" customHeight="false" outlineLevel="0" collapsed="false">
      <c r="A20" s="25"/>
      <c r="B20" s="25"/>
      <c r="C20" s="24" t="str">
        <f aca="false">IF(B20="","",B20*0.85)</f>
        <v/>
      </c>
      <c r="D20" s="25"/>
      <c r="E20" s="25"/>
      <c r="F20" s="24" t="str">
        <f aca="false">IF(A20="","",SUM(C20,D20,E20))</f>
        <v/>
      </c>
      <c r="G20" s="29" t="str">
        <f aca="false">IF(A20="","",RANK(F20,$F$4:$F$23))</f>
        <v/>
      </c>
      <c r="H20" s="30" t="n">
        <f aca="false">IFERROR(VLOOKUP(G20,$K$4:$L$13,2,FALSE()),0)</f>
        <v>0</v>
      </c>
      <c r="I20" s="31" t="str">
        <f aca="false">IF(A20="","",H20*$H$1)</f>
        <v/>
      </c>
    </row>
    <row r="21" customFormat="false" ht="15" hidden="false" customHeight="false" outlineLevel="0" collapsed="false">
      <c r="A21" s="25"/>
      <c r="B21" s="25"/>
      <c r="C21" s="24" t="str">
        <f aca="false">IF(B21="","",B21*0.85)</f>
        <v/>
      </c>
      <c r="D21" s="25"/>
      <c r="E21" s="25"/>
      <c r="F21" s="24" t="str">
        <f aca="false">IF(A21="","",SUM(C21,D21,E21))</f>
        <v/>
      </c>
      <c r="G21" s="29" t="str">
        <f aca="false">IF(A21="","",RANK(F21,$F$4:$F$23))</f>
        <v/>
      </c>
      <c r="H21" s="30" t="n">
        <f aca="false">IFERROR(VLOOKUP(G21,$K$4:$L$13,2,FALSE()),0)</f>
        <v>0</v>
      </c>
      <c r="I21" s="31" t="str">
        <f aca="false">IF(A21="","",H21*$H$1)</f>
        <v/>
      </c>
    </row>
    <row r="22" customFormat="false" ht="15" hidden="false" customHeight="false" outlineLevel="0" collapsed="false">
      <c r="A22" s="25"/>
      <c r="B22" s="25"/>
      <c r="C22" s="24" t="str">
        <f aca="false">IF(B22="","",B22*0.85)</f>
        <v/>
      </c>
      <c r="D22" s="25"/>
      <c r="E22" s="25"/>
      <c r="F22" s="24" t="str">
        <f aca="false">IF(A22="","",SUM(C22,D22,E22))</f>
        <v/>
      </c>
      <c r="G22" s="29" t="str">
        <f aca="false">IF(A22="","",RANK(F22,$F$4:$F$23))</f>
        <v/>
      </c>
      <c r="H22" s="30" t="n">
        <f aca="false">IFERROR(VLOOKUP(G22,$K$4:$L$13,2,FALSE()),0)</f>
        <v>0</v>
      </c>
      <c r="I22" s="31" t="str">
        <f aca="false">IF(A22="","",H22*$H$1)</f>
        <v/>
      </c>
    </row>
    <row r="23" customFormat="false" ht="15" hidden="false" customHeight="false" outlineLevel="0" collapsed="false">
      <c r="A23" s="25"/>
      <c r="B23" s="25"/>
      <c r="C23" s="24" t="str">
        <f aca="false">IF(B23="","",B23*0.85)</f>
        <v/>
      </c>
      <c r="D23" s="25"/>
      <c r="E23" s="25"/>
      <c r="F23" s="24" t="str">
        <f aca="false">IF(A23="","",SUM(C23,D23,E23))</f>
        <v/>
      </c>
      <c r="G23" s="29" t="str">
        <f aca="false">IF(A23="","",RANK(F23,$F$4:$F$23))</f>
        <v/>
      </c>
      <c r="H23" s="30" t="n">
        <f aca="false">IFERROR(VLOOKUP(G23,$K$4:$L$13,2,FALSE()),0)</f>
        <v>0</v>
      </c>
      <c r="I23" s="31" t="str">
        <f aca="false">IF(A23="","",H23*$H$1)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2026-06-01T09:18:51Z</dcterms:created>
  <dc:creator>openpyxl</dc:creator>
  <dc:description/>
  <dc:language>en-US</dc:language>
  <cp:lastModifiedBy/>
  <dcterms:modified xsi:type="dcterms:W3CDTF">2026-06-01T09:18:52Z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